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spection Log" sheetId="2" state="visible" r:id="rId4"/>
    <sheet name="Scoring" sheetId="3" state="visible" r:id="rId5"/>
    <sheet name="Master Table" sheetId="4" state="visible" r:id="rId6"/>
    <sheet name="Top 10" sheetId="5" state="visible" r:id="rId7"/>
    <sheet name="Search Log" sheetId="6" state="visible" r:id="rId8"/>
    <sheet name="Previously Rejected" sheetId="7" state="visible" r:id="rId9"/>
  </sheets>
  <definedNames>
    <definedName function="false" hidden="true" localSheetId="1" name="_xlnm._FilterDatabase" vbProcedure="false">'Inspection Log'!$A$1:$BB$62</definedName>
    <definedName function="false" hidden="true" localSheetId="3" name="_xlnm._FilterDatabase" vbProcedure="false">'Master Table'!$A$1:$O$61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<sst xmlns="http://schemas.openxmlformats.org/spreadsheetml/2006/main" count="497" uniqueCount="410">
  <si>
    <t xml:space="preserve">KIKFIA – Live Alibaba Factory Verification Workbook</t>
  </si>
  <si>
    <t xml:space="preserve">STATUS: THE LIVE ALIBABA INSPECTION HAS NOT BEEN DONE YET. Every company in this file is a CANDIDATE to inspect, not a verified factory.</t>
  </si>
  <si>
    <t xml:space="preserve">Why: the cloud session that built this file could not reach alibaba.com (network policy) and has no connection to your PC's browser. Nothing here was read from a live Alibaba page.</t>
  </si>
  <si>
    <t xml:space="preserve">HOW TO USE</t>
  </si>
  <si>
    <t xml:space="preserve">1. Search Log – run each keyword on Alibaba, apply filters (Verified Supplier, Manufacturer / Factory, Trade Assurance). Record what you did.</t>
  </si>
  <si>
    <t xml:space="preserve">2. Inspection Log – one row per company you open. Rows 1–27 are pre-loaded from earlier search-indexed research ONLY to save time; re-check everything live. Add new companies in empty rows 28–60.</t>
  </si>
  <si>
    <t xml:space="preserve">3. Scoring – give each company its 8 sub-scores. Total, gate, suggested priority and rank calculate automatically.</t>
  </si>
  <si>
    <t xml:space="preserve">4. Master Table and Top 10 – fill themselves from the Inspection Log and Scoring. Do not type in them.</t>
  </si>
  <si>
    <t xml:space="preserve">LEGEND</t>
  </si>
  <si>
    <t xml:space="preserve">Yellow cells = you fill in.   White cells = formulas (do not edit).   Grey italic row 2 in Inspection Log = fictional EXAMPLE showing the format (ignored by all formulas).</t>
  </si>
  <si>
    <t xml:space="preserve">Use exactly YES / NO / NOT CLEAR / NOT SHOWN from the drop-downs. If you could not verify something, choose NOT CLEAR or NOT SHOWN – never guess.</t>
  </si>
  <si>
    <t xml:space="preserve">CLICK PATH FOR EVERY COMPANY (do all of it)</t>
  </si>
  <si>
    <t xml:space="preserve">a) Search result → open the STORE (xxx.en.alibaba.com), not just the product. Paste the store URL; mark 'Store link opened &amp; confirmed live'.</t>
  </si>
  <si>
    <t xml:space="preserve">b) Store header: copy the exact business-type label (e.g. 'Custom Manufacturer', 'Manufacturer &amp; Trading', 'Multispecialty supplier'), Verified badge, years badge, rating, response time.</t>
  </si>
  <si>
    <t xml:space="preserve">c) Company Profile tab: legal name, address, area, staff, lines, machines, capacity, founding year, main markets, export %, certificates.</t>
  </si>
  <si>
    <t xml:space="preserve">d) Verification / Assessment panel: verifier name (TÜV, SGS, BV, Intertek), on-site check, report date. Open/download the report if offered; confirm name + address match.</t>
  </si>
  <si>
    <t xml:space="preserve">e) Factory / Production / R&amp;D / Quality tabs and Factory Tour video: look for welding lines, panel lines, machines, workers, signage with the company name.</t>
  </si>
  <si>
    <t xml:space="preserve">f) Reviews tab: note rating + count, then FILTER to 1★, 2★, 3★ and read them. Record negative themes and whether they repeat. Look for copy-paste or suspicious 5★ reviews.</t>
  </si>
  <si>
    <t xml:space="preserve">g) Products: open 2 product pages, confirm the seller name is the same company, read 'Customization' / OEM / ODM options and MOQ.</t>
  </si>
  <si>
    <t xml:space="preserve">h) Official website: open it and compare name, address and factory photos with Alibaba.</t>
  </si>
  <si>
    <t xml:space="preserve">i) Red flags: trader labels, unrelated products, inconsistent names/addresses, copied photos, no factory evidence, repeated complaints.</t>
  </si>
  <si>
    <t xml:space="preserve">GATES AND PRIORITY</t>
  </si>
  <si>
    <t xml:space="preserve">A company is automatically C (rejected) unless 'Factory or Trading?' = FACTORY and 'Full customization?' = YES.</t>
  </si>
  <si>
    <t xml:space="preserve">Suggested priority: A if score ≥ 80, B if ≥ 60, otherwise C (thresholds editable on the Scoring sheet). Your override column wins.</t>
  </si>
  <si>
    <t xml:space="preserve">Only A and B companies go into the final list and Top 10. If fewer than 30 qualify, report the real number – do not pad the list.</t>
  </si>
  <si>
    <t xml:space="preserve">SCORING (/100)</t>
  </si>
  <si>
    <t xml:space="preserve">Factory authenticity 25 · Customization/OEM/ODM 20 · Product quality/evidence 15 · Alibaba verification 10 · Reviews/reputation 10 · Export capability 10 · U.S. suitability 5 · Overall KIKFIA suitability 5</t>
  </si>
  <si>
    <t xml:space="preserve">Remember: an Alibaba Verified badge proves an assessment happened, not that every claim is true. Re-check before paying (see earlier REPORT.md, Section G).</t>
  </si>
  <si>
    <t xml:space="preserve">#</t>
  </si>
  <si>
    <t xml:space="preserve">Company Name (legal, exactly as on Alibaba)</t>
  </si>
  <si>
    <t xml:space="preserve">Alibaba Store Name</t>
  </si>
  <si>
    <t xml:space="preserve">Alibaba Store Link (company/store page, not search results)</t>
  </si>
  <si>
    <t xml:space="preserve">Store link opened &amp; confirmed live? (YES/NO)</t>
  </si>
  <si>
    <t xml:space="preserve">How found (Alibaba search keyword / source)</t>
  </si>
  <si>
    <t xml:space="preserve">Prior-research note (UNVERIFIED – re-check live)</t>
  </si>
  <si>
    <t xml:space="preserve">Date inspected</t>
  </si>
  <si>
    <t xml:space="preserve">Product Category</t>
  </si>
  <si>
    <t xml:space="preserve">Products Manufactured</t>
  </si>
  <si>
    <t xml:space="preserve">Alibaba business-type label (exact text shown)</t>
  </si>
  <si>
    <t xml:space="preserve">Factory or Trading? (FACTORY / TRADING / NOT CLEAR)</t>
  </si>
  <si>
    <t xml:space="preserve">Factory evidence seen (photos, videos, lines, machinery, workers, inspection report)</t>
  </si>
  <si>
    <t xml:space="preserve">Factory evidence level (STRONG / MODERATE / WEAK)</t>
  </si>
  <si>
    <t xml:space="preserve">Factory address / location (as shown)</t>
  </si>
  <si>
    <t xml:space="preserve">Factory area (m²)</t>
  </si>
  <si>
    <t xml:space="preserve">Staff</t>
  </si>
  <si>
    <t xml:space="preserve">Production lines / machines</t>
  </si>
  <si>
    <t xml:space="preserve">Production capacity</t>
  </si>
  <si>
    <t xml:space="preserve">Years in business (founded)</t>
  </si>
  <si>
    <t xml:space="preserve">Years on Alibaba (badge)</t>
  </si>
  <si>
    <t xml:space="preserve">Verified Supplier? (YES / NO / NOT CLEAR)</t>
  </si>
  <si>
    <t xml:space="preserve">Verifier / assessor name shown (TÜV, SGS, BV, Intertek…)</t>
  </si>
  <si>
    <t xml:space="preserve">On-site verification? (YES / NO / NOT SHOWN)</t>
  </si>
  <si>
    <t xml:space="preserve">Third-party assessment? (YES / NO / NOT SHOWN)</t>
  </si>
  <si>
    <t xml:space="preserve">Other verification (exact wording)</t>
  </si>
  <si>
    <t xml:space="preserve">Response time</t>
  </si>
  <si>
    <t xml:space="preserve">Response rate</t>
  </si>
  <si>
    <t xml:space="preserve">On-time delivery rate</t>
  </si>
  <si>
    <t xml:space="preserve">Transactions / orders shown</t>
  </si>
  <si>
    <t xml:space="preserve">Reorder rate</t>
  </si>
  <si>
    <t xml:space="preserve">Rating (/5)</t>
  </si>
  <si>
    <t xml:space="preserve">Number of reviews</t>
  </si>
  <si>
    <t xml:space="preserve">1–3★ reviews read? (YES / NO / NONE EXIST)</t>
  </si>
  <si>
    <t xml:space="preserve">Positive review themes</t>
  </si>
  <si>
    <t xml:space="preserve">Negative review themes</t>
  </si>
  <si>
    <t xml:space="preserve">Serious complaints (quote/summarise)</t>
  </si>
  <si>
    <t xml:space="preserve">Repeated complaints? (YES / NO / NOT CLEAR)</t>
  </si>
  <si>
    <t xml:space="preserve">Bad reviews found? (YES / NO / NOT CLEAR)</t>
  </si>
  <si>
    <t xml:space="preserve">What can be customized (dimensions, layout, rooms, wall/roof/floor, insulation, MEP, frame, cladding, finishes, branding, packaging…)</t>
  </si>
  <si>
    <t xml:space="preserve">Full / substantial customization? (YES / NO / NOT CLEAR)</t>
  </si>
  <si>
    <t xml:space="preserve">OEM / ODM wording shown (exact)</t>
  </si>
  <si>
    <t xml:space="preserve">Certifications shown (with numbers if visible)</t>
  </si>
  <si>
    <t xml:space="preserve">Main markets shown</t>
  </si>
  <si>
    <t xml:space="preserve">Export experience? (YES / NO / NOT CLEAR)</t>
  </si>
  <si>
    <t xml:space="preserve">U.S. experience? (YES / NO / NOT CLEAR)</t>
  </si>
  <si>
    <t xml:space="preserve">U.S. evidence (what exactly)</t>
  </si>
  <si>
    <t xml:space="preserve">MOQ</t>
  </si>
  <si>
    <t xml:space="preserve">Product link 1 (same company confirmed)</t>
  </si>
  <si>
    <t xml:space="preserve">Product link 2</t>
  </si>
  <si>
    <t xml:space="preserve">Official website</t>
  </si>
  <si>
    <t xml:space="preserve">Website matches Alibaba info? (YES / NO / NOT CLEAR)</t>
  </si>
  <si>
    <t xml:space="preserve">Red flags</t>
  </si>
  <si>
    <t xml:space="preserve">Overall assessment – should KIKFIA contact? Why?</t>
  </si>
  <si>
    <t xml:space="preserve">EX</t>
  </si>
  <si>
    <t xml:space="preserve">EXAMPLE – Sample Modular House Co., Ltd. (fictional – shows format only)</t>
  </si>
  <si>
    <t xml:space="preserve">Sample Modular House</t>
  </si>
  <si>
    <t xml:space="preserve">https://[store-subdomain].en.alibaba.com/</t>
  </si>
  <si>
    <t xml:space="preserve">YES</t>
  </si>
  <si>
    <t xml:space="preserve">expandable container house factory</t>
  </si>
  <si>
    <t xml:space="preserve">2026-10-06</t>
  </si>
  <si>
    <t xml:space="preserve">Expandable / folding</t>
  </si>
  <si>
    <t xml:space="preserve">20/40 ft expandable houses, folding houses, apple cabins</t>
  </si>
  <si>
    <t xml:space="preserve">Custom Manufacturer</t>
  </si>
  <si>
    <t xml:space="preserve">FACTORY</t>
  </si>
  <si>
    <t xml:space="preserve">Factory tour video with welding &amp; panel lines; 3rd-party report shows workshop photos</t>
  </si>
  <si>
    <t xml:space="preserve">STRONG</t>
  </si>
  <si>
    <t xml:space="preserve">Hengshui, Hebei, China</t>
  </si>
  <si>
    <t xml:space="preserve">20,000</t>
  </si>
  <si>
    <t xml:space="preserve">120</t>
  </si>
  <si>
    <t xml:space="preserve">4 lines / 30 machines</t>
  </si>
  <si>
    <t xml:space="preserve">300 units/month</t>
  </si>
  <si>
    <t xml:space="preserve">2016</t>
  </si>
  <si>
    <t xml:space="preserve">7 yrs</t>
  </si>
  <si>
    <t xml:space="preserve">TÜV Rheinland</t>
  </si>
  <si>
    <t xml:space="preserve">"Verified by certification body"; Trade Assurance</t>
  </si>
  <si>
    <t xml:space="preserve">≤3h</t>
  </si>
  <si>
    <t xml:space="preserve">95%</t>
  </si>
  <si>
    <t xml:space="preserve">100%</t>
  </si>
  <si>
    <t xml:space="preserve">US$500,000+ / 80 orders</t>
  </si>
  <si>
    <t xml:space="preserve">25%</t>
  </si>
  <si>
    <t xml:space="preserve">Quality matches photos; fast replies; good packing</t>
  </si>
  <si>
    <t xml:space="preserve">2 reviews: delivery 3 weeks late</t>
  </si>
  <si>
    <t xml:space="preserve">None found</t>
  </si>
  <si>
    <t xml:space="preserve">NO</t>
  </si>
  <si>
    <t xml:space="preserve">Size, floor plan, rooms, bathroom/kitchen, doors/windows, roof, panels, insulation, wiring (110V option), plumbing, finishes, logo, packaging</t>
  </si>
  <si>
    <t xml:space="preserve">Drawing-based, sample-based, full customization</t>
  </si>
  <si>
    <t xml:space="preserve">ISO 9001 (no. shown), CE</t>
  </si>
  <si>
    <t xml:space="preserve">North America 20%, Oceania 30%</t>
  </si>
  <si>
    <t xml:space="preserve">US buyer reviews visible; 'North America' in main markets</t>
  </si>
  <si>
    <t xml:space="preserve">1 unit</t>
  </si>
  <si>
    <t xml:space="preserve">https://www.alibaba.com/product-detail/[product-id].html</t>
  </si>
  <si>
    <t xml:space="preserve">https://www.[company-site].com</t>
  </si>
  <si>
    <t xml:space="preserve">2 late-delivery reviews</t>
  </si>
  <si>
    <t xml:space="preserve">Contact – strong factory evidence and full customization; ask about late deliveries</t>
  </si>
  <si>
    <t xml:space="preserve">Beijing Chengdong International Modular Housing Corporation</t>
  </si>
  <si>
    <t xml:space="preserve">CDPH</t>
  </si>
  <si>
    <t xml:space="preserve">https://cdph.en.alibaba.com/</t>
  </si>
  <si>
    <t xml:space="preserve">Prior research 3 Oct 2026 (search-indexed copy, NOT opened live) – shortlist #1</t>
  </si>
  <si>
    <t xml:space="preserve">Label was 'Manufacturer &amp; Trading'; HQ Beijing, factory Tangshan per CWB directory – confirm contracting entity owns the plant.</t>
  </si>
  <si>
    <t xml:space="preserve">Ningbo Deepblue Smarthouse Co., Ltd.</t>
  </si>
  <si>
    <t xml:space="preserve">Deepblue</t>
  </si>
  <si>
    <t xml:space="preserve">https://deepblue.en.alibaba.com/</t>
  </si>
  <si>
    <t xml:space="preserve">Prior research 3 Oct 2026 (search-indexed copy, NOT opened live) – shortlist #2</t>
  </si>
  <si>
    <t xml:space="preserve">ICC-ES ESR-5348 covers framing only; stated 3,000–5,000 m² looks small for capacity claims; thin review history.</t>
  </si>
  <si>
    <t xml:space="preserve">Hebei Weizhengheng Modular House Technology Co., Ltd.</t>
  </si>
  <si>
    <t xml:space="preserve">WZH</t>
  </si>
  <si>
    <t xml:space="preserve">https://wzhhouse.en.alibaba.com/</t>
  </si>
  <si>
    <t xml:space="preserve">Prior research 3 Oct 2026 (search-indexed copy, NOT opened live) – shortlist #3</t>
  </si>
  <si>
    <t xml:space="preserve">Several WZH stores/entities; some listings rated 4.2–4.4 – read the 1–3★ reviews.</t>
  </si>
  <si>
    <t xml:space="preserve">Zhejiang Putian Integrated Housing Co., Ltd.</t>
  </si>
  <si>
    <t xml:space="preserve">PTH</t>
  </si>
  <si>
    <t xml:space="preserve">https://putiangroup.en.alibaba.com/</t>
  </si>
  <si>
    <t xml:space="preserve">Prior research 3 Oct 2026 (search-indexed copy, NOT opened live) – shortlist #4</t>
  </si>
  <si>
    <t xml:space="preserve">CWB welding claim not confirmed; few public reviews.</t>
  </si>
  <si>
    <t xml:space="preserve">Zhuhai Remac Space Co., Ltd.</t>
  </si>
  <si>
    <t xml:space="preserve">REMAC</t>
  </si>
  <si>
    <t xml:space="preserve">https://remacspace.en.alibaba.com/</t>
  </si>
  <si>
    <t xml:space="preserve">Prior research 3 Oct 2026 (search-indexed copy, NOT opened live) – shortlist #5</t>
  </si>
  <si>
    <t xml:space="preserve">Midea-group company; may not take small orders; Alibaba details not retrieved before.</t>
  </si>
  <si>
    <t xml:space="preserve">Guangdong Zhonghuilvjian Moving House Technology Co., Ltd.</t>
  </si>
  <si>
    <t xml:space="preserve">CGCH</t>
  </si>
  <si>
    <t xml:space="preserve">https://cgcontainer.en.alibaba.com/</t>
  </si>
  <si>
    <t xml:space="preserve">Prior research 3 Oct 2026 (search-indexed copy, NOT opened live) – shortlist #6</t>
  </si>
  <si>
    <t xml:space="preserve">Annual-sales figures inconsistent; very broad range; no third-party verifier seen.</t>
  </si>
  <si>
    <t xml:space="preserve">Shandong Mars Cabin Technology Co., Ltd.</t>
  </si>
  <si>
    <t xml:space="preserve">Mars Cabin</t>
  </si>
  <si>
    <t xml:space="preserve">https://marscastle.en.alibaba.com/</t>
  </si>
  <si>
    <t xml:space="preserve">Prior research 3 Oct 2026 (search-indexed copy, NOT opened live) – shortlist #7</t>
  </si>
  <si>
    <t xml:space="preserve">TÜV on-site verification seen in indexed copy; years/business type inconsistent across platforms.</t>
  </si>
  <si>
    <t xml:space="preserve">Guangzhou Moneybox Steel Structure Engineering Co., Ltd.</t>
  </si>
  <si>
    <t xml:space="preserve">Moneybox</t>
  </si>
  <si>
    <t xml:space="preserve">https://moneyboxcontainer.en.alibaba.com/</t>
  </si>
  <si>
    <t xml:space="preserve">Prior research 3 Oct 2026 (search-indexed copy, NOT opened live) – shortlist #8</t>
  </si>
  <si>
    <t xml:space="preserve">TÜV on-site verification seen in indexed copy; small plant (11–50 staff).</t>
  </si>
  <si>
    <t xml:space="preserve">Foshan The Box Modular House Co., Ltd</t>
  </si>
  <si>
    <t xml:space="preserve">The Box</t>
  </si>
  <si>
    <t xml:space="preserve">https://thebox.en.alibaba.com/</t>
  </si>
  <si>
    <t xml:space="preserve">Prior research 3 Oct 2026 (search-indexed copy, NOT opened live) – shortlist #9</t>
  </si>
  <si>
    <t xml:space="preserve">Intertek on-site verification seen in indexed copy; 5,500 m²; only 6 reviews.</t>
  </si>
  <si>
    <t xml:space="preserve">Fucheng Huaying Integrated Housing Co., Ltd.</t>
  </si>
  <si>
    <t xml:space="preserve">Huaying</t>
  </si>
  <si>
    <t xml:space="preserve">https://fchuaying.en.alibaba.com/</t>
  </si>
  <si>
    <t xml:space="preserve">Prior research 3 Oct 2026 (search-indexed copy, NOT opened live) – shortlist #10</t>
  </si>
  <si>
    <t xml:space="preserve">Name variants; paid press releases; 'hurricane-proof' claim needs calculations.</t>
  </si>
  <si>
    <t xml:space="preserve">Hebei Shengyuan Tongda Modular House Co., Ltd.</t>
  </si>
  <si>
    <t xml:space="preserve">Shengyuan Tongda</t>
  </si>
  <si>
    <t xml:space="preserve">https://shengyuantongda.en.alibaba.com/</t>
  </si>
  <si>
    <t xml:space="preserve">Prior research 3 Oct 2026 (search-indexed copy, NOT opened live) – shortlist #11</t>
  </si>
  <si>
    <t xml:space="preserve">Profile figures differ between snapshots; verifier not seen.</t>
  </si>
  <si>
    <t xml:space="preserve">Heshi (Hebei) Integrated Housing Co., Ltd.</t>
  </si>
  <si>
    <t xml:space="preserve">Heshi</t>
  </si>
  <si>
    <t xml:space="preserve">https://heshihouse.en.alibaba.com/</t>
  </si>
  <si>
    <t xml:space="preserve">Prior research 3 Oct 2026 (search-indexed copy, NOT opened live) – shortlist #12</t>
  </si>
  <si>
    <t xml:space="preserve">Entity ~2.5 yrs old; office-room registered address; sister store 'Heshi (Hengshui)'.</t>
  </si>
  <si>
    <t xml:space="preserve">Suzhou Zhongnan Steel Structure Co., Ltd.</t>
  </si>
  <si>
    <t xml:space="preserve">Zhongnan</t>
  </si>
  <si>
    <t xml:space="preserve">https://sz-zhongnan.en.alibaba.com/</t>
  </si>
  <si>
    <t xml:space="preserve">Prior research 3 Oct 2026 (search-indexed copy, NOT opened live) – shortlist #13</t>
  </si>
  <si>
    <t xml:space="preserve">Floor area 5–10k vs 145,690 m²; founded 2009 vs 2018; very low headline prices; 3 stores.</t>
  </si>
  <si>
    <t xml:space="preserve">Foshan Hege Steel Modular Housing Co., Ltd.</t>
  </si>
  <si>
    <t xml:space="preserve">HEGE</t>
  </si>
  <si>
    <t xml:space="preserve">https://hege-prefabhouse.en.alibaba.com/</t>
  </si>
  <si>
    <t xml:space="preserve">Prior research 3 Oct 2026 (search-indexed copy, NOT opened live) – shortlist #14</t>
  </si>
  <si>
    <t xml:space="preserve">Indexed data looked dated; no verification details seen.</t>
  </si>
  <si>
    <t xml:space="preserve">Weifang Henglida Steel Structure Co., Ltd.</t>
  </si>
  <si>
    <t xml:space="preserve">Lida Group</t>
  </si>
  <si>
    <t xml:space="preserve">https://prefab-house.en.alibaba.com/</t>
  </si>
  <si>
    <t xml:space="preserve">Prior research 3 Oct 2026 (search-indexed copy, NOT opened live) – shortlist #15</t>
  </si>
  <si>
    <t xml:space="preserve">'Manufacturer &amp; Trading' label; 980+ listings; group structure – confirm factory entity.</t>
  </si>
  <si>
    <t xml:space="preserve">Dongguan Toppre Modular House Co., Ltd.</t>
  </si>
  <si>
    <t xml:space="preserve">Toppre</t>
  </si>
  <si>
    <t xml:space="preserve">https://topprehouse.en.alibaba.com/</t>
  </si>
  <si>
    <t xml:space="preserve">Prior research 3 Oct 2026 (search-indexed copy, NOT opened live) – shortlist #16</t>
  </si>
  <si>
    <t xml:space="preserve">Indexed 5.0 from 91 reviews; staff figures differ; a 'Shenzhen Toppre' also appears.</t>
  </si>
  <si>
    <t xml:space="preserve">Tianjin Yuantai Module House Co., Ltd.</t>
  </si>
  <si>
    <t xml:space="preserve">Yuantai</t>
  </si>
  <si>
    <t xml:space="preserve">https://zhongguoyuantai.en.alibaba.com/</t>
  </si>
  <si>
    <t xml:space="preserve">Prior research 3 Oct 2026 (search-indexed copy, NOT opened live) – shortlist #17</t>
  </si>
  <si>
    <t xml:space="preserve">Small headcount vs plant; related 'Yuantai Derun International Trade' exists.</t>
  </si>
  <si>
    <t xml:space="preserve">Weifang Ante Steel Structure Engineering Co., Ltd.</t>
  </si>
  <si>
    <t xml:space="preserve">Ante</t>
  </si>
  <si>
    <t xml:space="preserve">https://antehouse.en.alibaba.com/</t>
  </si>
  <si>
    <t xml:space="preserve">Prior research 3 Oct 2026 (search-indexed copy, NOT opened live) – shortlist #18</t>
  </si>
  <si>
    <t xml:space="preserve">Very little data retrieved before.</t>
  </si>
  <si>
    <t xml:space="preserve">Hebei Baida Mingsheng Integrated Housing Co., Ltd.</t>
  </si>
  <si>
    <t xml:space="preserve">Baida Mingsheng</t>
  </si>
  <si>
    <t xml:space="preserve">https://baidamingsheng.en.alibaba.com/</t>
  </si>
  <si>
    <t xml:space="preserve">Prior research 3 Oct 2026 (search-indexed copy, NOT opened live) – shortlist #19</t>
  </si>
  <si>
    <t xml:space="preserve">Three similarly named entities (Hebei / Tianjin / Guangdong) – confirm which owns the factory.</t>
  </si>
  <si>
    <t xml:space="preserve">Laizhou Dingrong Steel Structure Co., Ltd.</t>
  </si>
  <si>
    <t xml:space="preserve">Dingrong</t>
  </si>
  <si>
    <t xml:space="preserve">https://prefabbuilding.en.alibaba.com/</t>
  </si>
  <si>
    <t xml:space="preserve">Prior research 3 Oct 2026 (search-indexed copy, NOT opened live) – shortlist #20</t>
  </si>
  <si>
    <t xml:space="preserve">1 QC + 1 R&amp;D staff; prices not retrieved; also makes poultry houses.</t>
  </si>
  <si>
    <t xml:space="preserve">Hebei Zhongxinhe Assembled Housing Manufacturing Co., Ltd.</t>
  </si>
  <si>
    <t xml:space="preserve">Zhongxinhe</t>
  </si>
  <si>
    <t xml:space="preserve">https://hbzxh.en.alibaba.com/</t>
  </si>
  <si>
    <t xml:space="preserve">Prior research 3 Oct 2026 (search-indexed copy, NOT opened live) – alternate</t>
  </si>
  <si>
    <t xml:space="preserve">20 of 115 staff are trading staff; no floor area found.</t>
  </si>
  <si>
    <t xml:space="preserve">Guangdong Cbox Co., Limited</t>
  </si>
  <si>
    <t xml:space="preserve">Cbox</t>
  </si>
  <si>
    <t xml:space="preserve">https://cbox.en.alibaba.com/</t>
  </si>
  <si>
    <t xml:space="preserve">Two store names; mixed catalogue (portable toilets, pools).</t>
  </si>
  <si>
    <t xml:space="preserve">Dalian Xiesheng Construction Industry Co., Ltd.</t>
  </si>
  <si>
    <t xml:space="preserve">Xiesheng</t>
  </si>
  <si>
    <t xml:space="preserve">https://xsbuild.en.alibaba.com/</t>
  </si>
  <si>
    <t xml:space="preserve">Intertek on-site verification seen in indexed copy; no plant data found.</t>
  </si>
  <si>
    <t xml:space="preserve">Linyi Jianjie Exhibition Tent House Co., Ltd.</t>
  </si>
  <si>
    <t xml:space="preserve">Runtai</t>
  </si>
  <si>
    <t xml:space="preserve">https://runtaicabin.en.alibaba.com/</t>
  </si>
  <si>
    <t xml:space="preserve">Store brand 'Runtai' does not match legal name.</t>
  </si>
  <si>
    <t xml:space="preserve">Foshan Yinneng Green Construction Technology Co., Ltd.</t>
  </si>
  <si>
    <t xml:space="preserve">Yinneng</t>
  </si>
  <si>
    <t xml:space="preserve">https://yinnenggreen.en.alibaba.com/</t>
  </si>
  <si>
    <t xml:space="preserve">Founded 2022; workforce figures self-described only.</t>
  </si>
  <si>
    <t xml:space="preserve">Suzhou Daxiang Container House Co., Ltd.</t>
  </si>
  <si>
    <t xml:space="preserve">Daxiang</t>
  </si>
  <si>
    <t xml:space="preserve">https://dxhcontainer.en.alibaba.com/</t>
  </si>
  <si>
    <t xml:space="preserve">Founded 2022; 1 production line, 8,000 m².</t>
  </si>
  <si>
    <t xml:space="preserve">Orient GS International Engineering Co., Ltd.</t>
  </si>
  <si>
    <t xml:space="preserve">GS Housing</t>
  </si>
  <si>
    <t xml:space="preserve">https://gshousing.en.alibaba.com/</t>
  </si>
  <si>
    <t xml:space="preserve">Office-room registered address; link to GS Housing factories unverified.</t>
  </si>
  <si>
    <t xml:space="preserve">Factory score (/100) and A/B/C priority</t>
  </si>
  <si>
    <t xml:space="preserve">A-priority minimum score</t>
  </si>
  <si>
    <t xml:space="preserve">Assumption (Claude's suggestion, edit freely): A ≥ 80 and B ≥ 60. You defined A/B/C in words only. Any company that is not FACTORY or lacks full customization is automatically C.</t>
  </si>
  <si>
    <t xml:space="preserve">B-priority minimum score</t>
  </si>
  <si>
    <t xml:space="preserve">Company</t>
  </si>
  <si>
    <t xml:space="preserve">Factory authenticity (/25)</t>
  </si>
  <si>
    <t xml:space="preserve">Customization / OEM / ODM (/20)</t>
  </si>
  <si>
    <t xml:space="preserve">Product quality / evidence (/15)</t>
  </si>
  <si>
    <t xml:space="preserve">Alibaba verification (/10)</t>
  </si>
  <si>
    <t xml:space="preserve">Reviews / reputation (/10)</t>
  </si>
  <si>
    <t xml:space="preserve">Export capability (/10)</t>
  </si>
  <si>
    <t xml:space="preserve">U.S. suitability (/5)</t>
  </si>
  <si>
    <t xml:space="preserve">Overall KIKFIA suitability (/5)</t>
  </si>
  <si>
    <t xml:space="preserve">Total (/100)</t>
  </si>
  <si>
    <t xml:space="preserve">Factory or Trading? (from log)</t>
  </si>
  <si>
    <t xml:space="preserve">Full customization? (from log)</t>
  </si>
  <si>
    <t xml:space="preserve">Gate (PASS / FAIL)</t>
  </si>
  <si>
    <t xml:space="preserve">Suggested priority</t>
  </si>
  <si>
    <t xml:space="preserve">Your override (A / B / C)</t>
  </si>
  <si>
    <t xml:space="preserve">Final priority</t>
  </si>
  <si>
    <t xml:space="preserve">Rank key (helper)</t>
  </si>
  <si>
    <t xml:space="preserve">Rank among A/B</t>
  </si>
  <si>
    <t xml:space="preserve">Factory Type</t>
  </si>
  <si>
    <t xml:space="preserve">Full Customization</t>
  </si>
  <si>
    <t xml:space="preserve">Verified Supplier</t>
  </si>
  <si>
    <t xml:space="preserve">On-Site/Third-Party Verification</t>
  </si>
  <si>
    <t xml:space="preserve">Rating</t>
  </si>
  <si>
    <t xml:space="preserve">Bad Reviews Found?</t>
  </si>
  <si>
    <t xml:space="preserve">Factory Evidence</t>
  </si>
  <si>
    <t xml:space="preserve">U.S. Experience</t>
  </si>
  <si>
    <t xml:space="preserve">Score/100</t>
  </si>
  <si>
    <t xml:space="preserve">Priority</t>
  </si>
  <si>
    <t xml:space="preserve">Alibaba Store</t>
  </si>
  <si>
    <t xml:space="preserve">Product Link</t>
  </si>
  <si>
    <t xml:space="preserve">Website</t>
  </si>
  <si>
    <t xml:space="preserve">Rank</t>
  </si>
  <si>
    <t xml:space="preserve">Score</t>
  </si>
  <si>
    <t xml:space="preserve">Factory authenticity</t>
  </si>
  <si>
    <t xml:space="preserve">Customization</t>
  </si>
  <si>
    <t xml:space="preserve">Alibaba verification</t>
  </si>
  <si>
    <t xml:space="preserve">Reviews</t>
  </si>
  <si>
    <t xml:space="preserve">Negative-review concerns</t>
  </si>
  <si>
    <t xml:space="preserve">Export / U.S. experience</t>
  </si>
  <si>
    <t xml:space="preserve">Why it is a strong KIKFIA candidate</t>
  </si>
  <si>
    <t xml:space="preserve">Alibaba store link</t>
  </si>
  <si>
    <t xml:space="preserve">Row (helper)</t>
  </si>
  <si>
    <t xml:space="preserve">Alibaba search keyword</t>
  </si>
  <si>
    <t xml:space="preserve">Category</t>
  </si>
  <si>
    <t xml:space="preserve">Date searched</t>
  </si>
  <si>
    <t xml:space="preserve">Alibaba filters applied (e.g. Verified Supplier, Manufacturer, ≥4.5★, Trade Assurance)</t>
  </si>
  <si>
    <t xml:space="preserve">Result pages reviewed</t>
  </si>
  <si>
    <t xml:space="preserve">Stores opened</t>
  </si>
  <si>
    <t xml:space="preserve">Candidates added to Inspection Log (#s)</t>
  </si>
  <si>
    <t xml:space="preserve">Notes</t>
  </si>
  <si>
    <t xml:space="preserve">portable house manufacturer</t>
  </si>
  <si>
    <t xml:space="preserve">General</t>
  </si>
  <si>
    <t xml:space="preserve">portable house factory</t>
  </si>
  <si>
    <t xml:space="preserve">prefab house manufacturer</t>
  </si>
  <si>
    <t xml:space="preserve">Prefab / Modular</t>
  </si>
  <si>
    <t xml:space="preserve">prefab house factory</t>
  </si>
  <si>
    <t xml:space="preserve">prefabricated house factory</t>
  </si>
  <si>
    <t xml:space="preserve">modular house manufacturer</t>
  </si>
  <si>
    <t xml:space="preserve">modular house factory</t>
  </si>
  <si>
    <t xml:space="preserve">modular home factory</t>
  </si>
  <si>
    <t xml:space="preserve">prefab home manufacturer</t>
  </si>
  <si>
    <t xml:space="preserve">folding house manufacturer</t>
  </si>
  <si>
    <t xml:space="preserve">Folding / Expandable</t>
  </si>
  <si>
    <t xml:space="preserve">folding house factory</t>
  </si>
  <si>
    <t xml:space="preserve">foldable house factory</t>
  </si>
  <si>
    <t xml:space="preserve">expandable house manufacturer</t>
  </si>
  <si>
    <t xml:space="preserve">folding container house factory</t>
  </si>
  <si>
    <t xml:space="preserve">container house manufacturer</t>
  </si>
  <si>
    <t xml:space="preserve">Container</t>
  </si>
  <si>
    <t xml:space="preserve">container home factory</t>
  </si>
  <si>
    <t xml:space="preserve">detachable container house manufacturer</t>
  </si>
  <si>
    <t xml:space="preserve">modified container house factory</t>
  </si>
  <si>
    <t xml:space="preserve">flat pack house factory</t>
  </si>
  <si>
    <t xml:space="preserve">Flat-Pack</t>
  </si>
  <si>
    <t xml:space="preserve">flat pack container house manufacturer</t>
  </si>
  <si>
    <t xml:space="preserve">knock down house factory</t>
  </si>
  <si>
    <t xml:space="preserve">easy install prefab house factory</t>
  </si>
  <si>
    <t xml:space="preserve">mobile home manufacturer</t>
  </si>
  <si>
    <t xml:space="preserve">Mobile / Tiny</t>
  </si>
  <si>
    <t xml:space="preserve">portable home factory</t>
  </si>
  <si>
    <t xml:space="preserve">tiny house manufacturer</t>
  </si>
  <si>
    <t xml:space="preserve">tiny house on wheels factory</t>
  </si>
  <si>
    <t xml:space="preserve">portable cabin manufacturer</t>
  </si>
  <si>
    <t xml:space="preserve">mobile cabin factory</t>
  </si>
  <si>
    <t xml:space="preserve">capsule house manufacturer</t>
  </si>
  <si>
    <t xml:space="preserve">Capsule / Modern</t>
  </si>
  <si>
    <t xml:space="preserve">space capsule house factory</t>
  </si>
  <si>
    <t xml:space="preserve">apple cabin factory</t>
  </si>
  <si>
    <t xml:space="preserve">luxury prefab cabin manufacturer</t>
  </si>
  <si>
    <t xml:space="preserve">light steel house factory</t>
  </si>
  <si>
    <t xml:space="preserve">Steel / Structural</t>
  </si>
  <si>
    <t xml:space="preserve">light steel prefab house manufacturer</t>
  </si>
  <si>
    <t xml:space="preserve">light gauge steel frame house manufacturer</t>
  </si>
  <si>
    <t xml:space="preserve">steel structure house manufacturer</t>
  </si>
  <si>
    <t xml:space="preserve">steel frame prefab house factory</t>
  </si>
  <si>
    <t xml:space="preserve">sandwich panel house manufacturer</t>
  </si>
  <si>
    <t xml:space="preserve">light steel villa factory</t>
  </si>
  <si>
    <t xml:space="preserve">prefab cabin manufacturer</t>
  </si>
  <si>
    <t xml:space="preserve">Other relevant</t>
  </si>
  <si>
    <t xml:space="preserve">OEM prefab house factory</t>
  </si>
  <si>
    <t xml:space="preserve">ODM portable house manufacturer</t>
  </si>
  <si>
    <t xml:space="preserve">prefab ADU manufacturer</t>
  </si>
  <si>
    <t xml:space="preserve">granny flat prefab factory</t>
  </si>
  <si>
    <t xml:space="preserve">A-frame prefab house manufacturer</t>
  </si>
  <si>
    <t xml:space="preserve">glamping pod manufacturer</t>
  </si>
  <si>
    <t xml:space="preserve">backyard office pod factory</t>
  </si>
  <si>
    <t xml:space="preserve">modular container hotel manufacturer</t>
  </si>
  <si>
    <t xml:space="preserve">SIP panel house manufacturer</t>
  </si>
  <si>
    <t xml:space="preserve">prefab house US standard</t>
  </si>
  <si>
    <t xml:space="preserve">modular home 110V UL factory</t>
  </si>
  <si>
    <t xml:space="preserve">Why it was rejected (prior indexed research – unverified)</t>
  </si>
  <si>
    <t xml:space="preserve">If found again live</t>
  </si>
  <si>
    <t xml:space="preserve">Xinyu Integrated Housing Co., Ltd.</t>
  </si>
  <si>
    <t xml:space="preserve">Alibaba label 'Multispecialty supplier' (trader signal); 760+ products.</t>
  </si>
  <si>
    <t xml:space="preserve">Re-inspect only if the live store contradicts this reason.</t>
  </si>
  <si>
    <t xml:space="preserve">Hig Housing Tech Co., Ltd.</t>
  </si>
  <si>
    <t xml:space="preserve">'Multispecialty supplier' label; no factory data.</t>
  </si>
  <si>
    <t xml:space="preserve">Dongguan Vanhe Modular House Co., Ltd.</t>
  </si>
  <si>
    <t xml:space="preserve">'Multispecialty supplier'; only 924 m² floor area.</t>
  </si>
  <si>
    <t xml:space="preserve">Hengxin New Energy Tech Co., Ltd. (hxhouse)</t>
  </si>
  <si>
    <t xml:space="preserve">'Multispecialty supplier'; on Alibaba since 2024.</t>
  </si>
  <si>
    <t xml:space="preserve">Shandong BY Steel Structure Co., Ltd.</t>
  </si>
  <si>
    <t xml:space="preserve">Under 1,000 m² and 91–100% export share – trading profile.</t>
  </si>
  <si>
    <t xml:space="preserve">Zhejiang Honghuiyuan Import And Export Co., Ltd.</t>
  </si>
  <si>
    <t xml:space="preserve">Import-export company name; no manufacturing evidence.</t>
  </si>
  <si>
    <t xml:space="preserve">Shanghai Changxu International Trade Co., Ltd.</t>
  </si>
  <si>
    <t xml:space="preserve">Trading company.</t>
  </si>
  <si>
    <t xml:space="preserve">Tianjin Evermore International Co., Ltd.</t>
  </si>
  <si>
    <t xml:space="preserve">~10 staff and ~110 m² facility (guide page); trading-style name.</t>
  </si>
  <si>
    <t xml:space="preserve">Tianjin Yuantai Derun International Trade Co., Ltd.</t>
  </si>
  <si>
    <t xml:space="preserve">Wananhoo (Shenyang) Industrial Co., Ltd.</t>
  </si>
  <si>
    <t xml:space="preserve">About 1 year on Alibaba; no factory data.</t>
  </si>
  <si>
    <t xml:space="preserve">Shandong Hessne Integrated House Co., Ltd.</t>
  </si>
  <si>
    <t xml:space="preserve">Founded 2024; office-room address; 3,618 m², 24 staff, 1 line.</t>
  </si>
  <si>
    <t xml:space="preserve">Shandong Endless Landscape Technology Co., Ltd.</t>
  </si>
  <si>
    <t xml:space="preserve">Unrelated items (fiberglass animal props); inconsistent profile.</t>
  </si>
  <si>
    <t xml:space="preserve">Weifang Zhonglei Integrated Housing Co., Ltd.</t>
  </si>
  <si>
    <t xml:space="preserve">54,160 m² claimed with only 46 staff (11 trading).</t>
  </si>
  <si>
    <t xml:space="preserve">Qingdao Flatbox Container Co., Ltd.</t>
  </si>
  <si>
    <t xml:space="preserve">Storage-container focus; no housing-factory data.</t>
  </si>
  <si>
    <t xml:space="preserve">Qingdao Livable House Intelligent Technology Co., Ltd.</t>
  </si>
  <si>
    <t xml:space="preserve">No factory data retrievable.</t>
  </si>
  <si>
    <t xml:space="preserve">Grande Modular Housing (Anhui) Co., Ltd.</t>
  </si>
  <si>
    <t xml:space="preserve">Founded 2023; no plant data; UL claim unverified.</t>
  </si>
  <si>
    <t xml:space="preserve">Tianjin Quick Smart House Co., Ltd.</t>
  </si>
  <si>
    <t xml:space="preserve">20+ staff, 6,000 m²; 80% on-time delivery.</t>
  </si>
  <si>
    <t xml:space="preserve">Shandong Ups Housing Project Co., Ltd.</t>
  </si>
  <si>
    <t xml:space="preserve">30 staff; little plant data.</t>
  </si>
  <si>
    <t xml:space="preserve">Weifang Zhonghui Lvjian Steel Structure Co., Ltd.</t>
  </si>
  <si>
    <t xml:space="preserve">49 staff; no plant data.</t>
  </si>
  <si>
    <t xml:space="preserve">Shenyang Lanying Colored Steel Co., Ltd.</t>
  </si>
  <si>
    <t xml:space="preserve">Real steel-building maker but not a housing specialist.</t>
  </si>
  <si>
    <t xml:space="preserve">Foshan Bingcheng Steel Frame House Co., Ltd.</t>
  </si>
  <si>
    <t xml:space="preserve">Warehouse/workshop focus; 6,253 m².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</si>
</sst>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9"/>
      <color rgb="FFA6A6A6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CE4E4"/>
        <bgColor rgb="FFEDEDED"/>
      </patternFill>
    </fill>
    <fill>
      <patternFill patternType="solid">
        <fgColor rgb="FFFFF2CC"/>
        <bgColor rgb="FFFCE4E4"/>
      </patternFill>
    </fill>
    <fill>
      <patternFill patternType="solid">
        <fgColor rgb="FF1F3864"/>
        <bgColor rgb="FF333333"/>
      </patternFill>
    </fill>
    <fill>
      <patternFill patternType="solid">
        <fgColor rgb="FFEDEDED"/>
        <bgColor rgb="FFFCE4E4"/>
      </patternFill>
    </fill>
    <fill>
      <patternFill patternType="solid">
        <fgColor rgb="FFFFFFFF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563C1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2" t="s">
        <v>4</v>
      </c>
    </row>
    <row r="8" customFormat="false" ht="23.8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2" t="s">
        <v>7</v>
      </c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B12" s="5" t="s">
        <v>8</v>
      </c>
    </row>
    <row r="13" customFormat="false" ht="15" hidden="false" customHeight="false" outlineLevel="0" collapsed="false">
      <c r="B13" s="6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/>
    </row>
    <row r="16" customFormat="false" ht="15" hidden="false" customHeight="false" outlineLevel="0" collapsed="false">
      <c r="B16" s="5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 t="s">
        <v>15</v>
      </c>
    </row>
    <row r="21" customFormat="false" ht="15" hidden="false" customHeight="false" outlineLevel="0" collapsed="false">
      <c r="B21" s="2" t="s">
        <v>16</v>
      </c>
    </row>
    <row r="22" customFormat="false" ht="15" hidden="false" customHeight="false" outlineLevel="0" collapsed="false">
      <c r="B22" s="2" t="s">
        <v>17</v>
      </c>
    </row>
    <row r="23" customFormat="false" ht="15" hidden="false" customHeight="false" outlineLevel="0" collapsed="false">
      <c r="B23" s="2" t="s">
        <v>18</v>
      </c>
    </row>
    <row r="24" customFormat="false" ht="15" hidden="false" customHeight="false" outlineLevel="0" collapsed="false">
      <c r="B24" s="2" t="s">
        <v>19</v>
      </c>
    </row>
    <row r="25" customFormat="false" ht="15" hidden="false" customHeight="false" outlineLevel="0" collapsed="false">
      <c r="B25" s="2" t="s">
        <v>20</v>
      </c>
    </row>
    <row r="26" customFormat="false" ht="15" hidden="false" customHeight="false" outlineLevel="0" collapsed="false">
      <c r="B26" s="2"/>
    </row>
    <row r="27" customFormat="false" ht="15" hidden="false" customHeight="false" outlineLevel="0" collapsed="false">
      <c r="B27" s="5" t="s">
        <v>21</v>
      </c>
    </row>
    <row r="28" customFormat="false" ht="15" hidden="false" customHeight="false" outlineLevel="0" collapsed="false">
      <c r="B28" s="2" t="s">
        <v>22</v>
      </c>
    </row>
    <row r="29" customFormat="false" ht="15" hidden="false" customHeight="false" outlineLevel="0" collapsed="false">
      <c r="B29" s="2" t="s">
        <v>23</v>
      </c>
    </row>
    <row r="30" customFormat="false" ht="15" hidden="false" customHeight="false" outlineLevel="0" collapsed="false">
      <c r="B30" s="2" t="s">
        <v>24</v>
      </c>
    </row>
    <row r="31" customFormat="false" ht="15" hidden="false" customHeight="false" outlineLevel="0" collapsed="false">
      <c r="B31" s="2"/>
    </row>
    <row r="32" customFormat="false" ht="15" hidden="false" customHeight="false" outlineLevel="0" collapsed="false">
      <c r="B32" s="5" t="s">
        <v>25</v>
      </c>
    </row>
    <row r="33" customFormat="false" ht="23.85" hidden="false" customHeight="false" outlineLevel="0" collapsed="false">
      <c r="B33" s="2" t="s">
        <v>26</v>
      </c>
    </row>
    <row r="34" customFormat="false" ht="15" hidden="false" customHeight="false" outlineLevel="0" collapsed="false">
      <c r="B34" s="2"/>
    </row>
    <row r="35" customFormat="false" ht="15" hidden="false" customHeight="false" outlineLevel="0" collapsed="false">
      <c r="B35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36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30"/>
    <col collapsed="false" customWidth="true" hidden="false" outlineLevel="0" max="11" min="11" style="0" width="22"/>
    <col collapsed="false" customWidth="true" hidden="false" outlineLevel="0" max="12" min="12" style="0" width="16"/>
    <col collapsed="false" customWidth="true" hidden="false" outlineLevel="0" max="13" min="13" style="0" width="36"/>
    <col collapsed="false" customWidth="true" hidden="false" outlineLevel="0" max="14" min="14" style="0" width="14"/>
    <col collapsed="false" customWidth="true" hidden="false" outlineLevel="0" max="15" min="15" style="0" width="28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0" min="20" style="0" width="12"/>
    <col collapsed="false" customWidth="true" hidden="false" outlineLevel="0" max="21" min="21" style="0" width="11"/>
    <col collapsed="false" customWidth="true" hidden="false" outlineLevel="0" max="22" min="22" style="0" width="13"/>
    <col collapsed="false" customWidth="true" hidden="false" outlineLevel="0" max="23" min="23" style="0" width="18"/>
    <col collapsed="false" customWidth="true" hidden="false" outlineLevel="0" max="25" min="24" style="0" width="13"/>
    <col collapsed="false" customWidth="true" hidden="false" outlineLevel="0" max="26" min="26" style="0" width="24"/>
    <col collapsed="false" customWidth="true" hidden="false" outlineLevel="0" max="27" min="27" style="0" width="11"/>
    <col collapsed="false" customWidth="true" hidden="false" outlineLevel="0" max="29" min="28" style="0" width="10"/>
    <col collapsed="false" customWidth="true" hidden="false" outlineLevel="0" max="30" min="30" style="0" width="16"/>
    <col collapsed="false" customWidth="true" hidden="false" outlineLevel="0" max="31" min="31" style="0" width="10"/>
    <col collapsed="false" customWidth="true" hidden="false" outlineLevel="0" max="32" min="32" style="0" width="8"/>
    <col collapsed="false" customWidth="true" hidden="false" outlineLevel="0" max="33" min="33" style="0" width="9"/>
    <col collapsed="false" customWidth="true" hidden="false" outlineLevel="0" max="34" min="34" style="0" width="13"/>
    <col collapsed="false" customWidth="true" hidden="false" outlineLevel="0" max="37" min="35" style="0" width="28"/>
    <col collapsed="false" customWidth="true" hidden="false" outlineLevel="0" max="39" min="38" style="0" width="13"/>
    <col collapsed="false" customWidth="true" hidden="false" outlineLevel="0" max="40" min="40" style="0" width="40"/>
    <col collapsed="false" customWidth="true" hidden="false" outlineLevel="0" max="41" min="41" style="0" width="14"/>
    <col collapsed="false" customWidth="true" hidden="false" outlineLevel="0" max="42" min="42" style="0" width="22"/>
    <col collapsed="false" customWidth="true" hidden="false" outlineLevel="0" max="43" min="43" style="0" width="26"/>
    <col collapsed="false" customWidth="true" hidden="false" outlineLevel="0" max="44" min="44" style="0" width="22"/>
    <col collapsed="false" customWidth="true" hidden="false" outlineLevel="0" max="46" min="45" style="0" width="12"/>
    <col collapsed="false" customWidth="true" hidden="false" outlineLevel="0" max="47" min="47" style="0" width="26"/>
    <col collapsed="false" customWidth="true" hidden="false" outlineLevel="0" max="48" min="48" style="0" width="12"/>
    <col collapsed="false" customWidth="true" hidden="false" outlineLevel="0" max="50" min="49" style="0" width="34"/>
    <col collapsed="false" customWidth="true" hidden="false" outlineLevel="0" max="51" min="51" style="0" width="26"/>
    <col collapsed="false" customWidth="true" hidden="false" outlineLevel="0" max="52" min="52" style="0" width="13"/>
    <col collapsed="false" customWidth="true" hidden="false" outlineLevel="0" max="53" min="53" style="0" width="34"/>
    <col collapsed="false" customWidth="true" hidden="false" outlineLevel="0" max="54" min="54" style="0" width="40"/>
  </cols>
  <sheetData>
    <row r="1" customFormat="false" ht="78" hidden="false" customHeight="true" outlineLevel="0" collapsed="false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45</v>
      </c>
      <c r="S1" s="7" t="s">
        <v>46</v>
      </c>
      <c r="T1" s="7" t="s">
        <v>47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  <c r="AH1" s="7" t="s">
        <v>61</v>
      </c>
      <c r="AI1" s="7" t="s">
        <v>62</v>
      </c>
      <c r="AJ1" s="7" t="s">
        <v>63</v>
      </c>
      <c r="AK1" s="7" t="s">
        <v>64</v>
      </c>
      <c r="AL1" s="7" t="s">
        <v>65</v>
      </c>
      <c r="AM1" s="7" t="s">
        <v>66</v>
      </c>
      <c r="AN1" s="7" t="s">
        <v>67</v>
      </c>
      <c r="AO1" s="7" t="s">
        <v>68</v>
      </c>
      <c r="AP1" s="7" t="s">
        <v>69</v>
      </c>
      <c r="AQ1" s="7" t="s">
        <v>70</v>
      </c>
      <c r="AR1" s="7" t="s">
        <v>71</v>
      </c>
      <c r="AS1" s="7" t="s">
        <v>72</v>
      </c>
      <c r="AT1" s="7" t="s">
        <v>73</v>
      </c>
      <c r="AU1" s="7" t="s">
        <v>74</v>
      </c>
      <c r="AV1" s="7" t="s">
        <v>75</v>
      </c>
      <c r="AW1" s="7" t="s">
        <v>76</v>
      </c>
      <c r="AX1" s="7" t="s">
        <v>77</v>
      </c>
      <c r="AY1" s="7" t="s">
        <v>78</v>
      </c>
      <c r="AZ1" s="7" t="s">
        <v>79</v>
      </c>
      <c r="BA1" s="7" t="s">
        <v>80</v>
      </c>
      <c r="BB1" s="7" t="s">
        <v>81</v>
      </c>
    </row>
    <row r="2" customFormat="false" ht="60" hidden="false" customHeight="true" outlineLevel="0" collapsed="false">
      <c r="A2" s="8" t="s">
        <v>82</v>
      </c>
      <c r="B2" s="8" t="s">
        <v>83</v>
      </c>
      <c r="C2" s="8" t="s">
        <v>84</v>
      </c>
      <c r="D2" s="8" t="s">
        <v>85</v>
      </c>
      <c r="E2" s="8" t="s">
        <v>86</v>
      </c>
      <c r="F2" s="8" t="s">
        <v>87</v>
      </c>
      <c r="G2" s="8"/>
      <c r="H2" s="8" t="s">
        <v>88</v>
      </c>
      <c r="I2" s="8" t="s">
        <v>89</v>
      </c>
      <c r="J2" s="8" t="s">
        <v>90</v>
      </c>
      <c r="K2" s="8" t="s">
        <v>91</v>
      </c>
      <c r="L2" s="8" t="s">
        <v>92</v>
      </c>
      <c r="M2" s="8" t="s">
        <v>93</v>
      </c>
      <c r="N2" s="8" t="s">
        <v>94</v>
      </c>
      <c r="O2" s="8" t="s">
        <v>95</v>
      </c>
      <c r="P2" s="8" t="s">
        <v>96</v>
      </c>
      <c r="Q2" s="8" t="s">
        <v>97</v>
      </c>
      <c r="R2" s="8" t="s">
        <v>98</v>
      </c>
      <c r="S2" s="8" t="s">
        <v>99</v>
      </c>
      <c r="T2" s="8" t="s">
        <v>100</v>
      </c>
      <c r="U2" s="8" t="s">
        <v>101</v>
      </c>
      <c r="V2" s="8" t="s">
        <v>86</v>
      </c>
      <c r="W2" s="8" t="s">
        <v>102</v>
      </c>
      <c r="X2" s="8" t="s">
        <v>86</v>
      </c>
      <c r="Y2" s="8" t="s">
        <v>86</v>
      </c>
      <c r="Z2" s="8" t="s">
        <v>103</v>
      </c>
      <c r="AA2" s="8" t="s">
        <v>104</v>
      </c>
      <c r="AB2" s="8" t="s">
        <v>105</v>
      </c>
      <c r="AC2" s="8" t="s">
        <v>106</v>
      </c>
      <c r="AD2" s="8" t="s">
        <v>107</v>
      </c>
      <c r="AE2" s="8" t="s">
        <v>108</v>
      </c>
      <c r="AF2" s="8" t="n">
        <v>4.8</v>
      </c>
      <c r="AG2" s="8" t="n">
        <v>42</v>
      </c>
      <c r="AH2" s="8" t="s">
        <v>86</v>
      </c>
      <c r="AI2" s="8" t="s">
        <v>109</v>
      </c>
      <c r="AJ2" s="8" t="s">
        <v>110</v>
      </c>
      <c r="AK2" s="8" t="s">
        <v>111</v>
      </c>
      <c r="AL2" s="8" t="s">
        <v>112</v>
      </c>
      <c r="AM2" s="8" t="s">
        <v>86</v>
      </c>
      <c r="AN2" s="8" t="s">
        <v>113</v>
      </c>
      <c r="AO2" s="8" t="s">
        <v>86</v>
      </c>
      <c r="AP2" s="8" t="s">
        <v>114</v>
      </c>
      <c r="AQ2" s="8" t="s">
        <v>115</v>
      </c>
      <c r="AR2" s="8" t="s">
        <v>116</v>
      </c>
      <c r="AS2" s="8" t="s">
        <v>86</v>
      </c>
      <c r="AT2" s="8" t="s">
        <v>86</v>
      </c>
      <c r="AU2" s="8" t="s">
        <v>117</v>
      </c>
      <c r="AV2" s="8" t="s">
        <v>118</v>
      </c>
      <c r="AW2" s="8" t="s">
        <v>119</v>
      </c>
      <c r="AX2" s="8"/>
      <c r="AY2" s="8" t="s">
        <v>120</v>
      </c>
      <c r="AZ2" s="8" t="s">
        <v>86</v>
      </c>
      <c r="BA2" s="8" t="s">
        <v>121</v>
      </c>
      <c r="BB2" s="8" t="s">
        <v>122</v>
      </c>
    </row>
    <row r="3" customFormat="false" ht="35.05" hidden="false" customHeight="false" outlineLevel="0" collapsed="false">
      <c r="A3" s="9" t="n">
        <v>1</v>
      </c>
      <c r="B3" s="10" t="s">
        <v>123</v>
      </c>
      <c r="C3" s="10" t="s">
        <v>124</v>
      </c>
      <c r="D3" s="10" t="s">
        <v>125</v>
      </c>
      <c r="E3" s="10"/>
      <c r="F3" s="10" t="s">
        <v>126</v>
      </c>
      <c r="G3" s="10" t="s">
        <v>127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 customFormat="false" ht="35.05" hidden="false" customHeight="false" outlineLevel="0" collapsed="false">
      <c r="A4" s="9" t="n">
        <v>2</v>
      </c>
      <c r="B4" s="10" t="s">
        <v>128</v>
      </c>
      <c r="C4" s="10" t="s">
        <v>129</v>
      </c>
      <c r="D4" s="10" t="s">
        <v>130</v>
      </c>
      <c r="E4" s="10"/>
      <c r="F4" s="10" t="s">
        <v>131</v>
      </c>
      <c r="G4" s="10" t="s">
        <v>132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 customFormat="false" ht="35.05" hidden="false" customHeight="false" outlineLevel="0" collapsed="false">
      <c r="A5" s="9" t="n">
        <v>3</v>
      </c>
      <c r="B5" s="10" t="s">
        <v>133</v>
      </c>
      <c r="C5" s="10" t="s">
        <v>134</v>
      </c>
      <c r="D5" s="10" t="s">
        <v>135</v>
      </c>
      <c r="E5" s="10"/>
      <c r="F5" s="10" t="s">
        <v>136</v>
      </c>
      <c r="G5" s="10" t="s">
        <v>137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 customFormat="false" ht="35.05" hidden="false" customHeight="false" outlineLevel="0" collapsed="false">
      <c r="A6" s="9" t="n">
        <v>4</v>
      </c>
      <c r="B6" s="10" t="s">
        <v>138</v>
      </c>
      <c r="C6" s="10" t="s">
        <v>139</v>
      </c>
      <c r="D6" s="10" t="s">
        <v>140</v>
      </c>
      <c r="E6" s="10"/>
      <c r="F6" s="10" t="s">
        <v>141</v>
      </c>
      <c r="G6" s="10" t="s">
        <v>142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</row>
    <row r="7" customFormat="false" ht="35.05" hidden="false" customHeight="false" outlineLevel="0" collapsed="false">
      <c r="A7" s="9" t="n">
        <v>5</v>
      </c>
      <c r="B7" s="10" t="s">
        <v>143</v>
      </c>
      <c r="C7" s="10" t="s">
        <v>144</v>
      </c>
      <c r="D7" s="10" t="s">
        <v>145</v>
      </c>
      <c r="E7" s="10"/>
      <c r="F7" s="10" t="s">
        <v>146</v>
      </c>
      <c r="G7" s="10" t="s">
        <v>147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</row>
    <row r="8" customFormat="false" ht="35.05" hidden="false" customHeight="false" outlineLevel="0" collapsed="false">
      <c r="A8" s="9" t="n">
        <v>6</v>
      </c>
      <c r="B8" s="10" t="s">
        <v>148</v>
      </c>
      <c r="C8" s="10" t="s">
        <v>149</v>
      </c>
      <c r="D8" s="10" t="s">
        <v>150</v>
      </c>
      <c r="E8" s="10"/>
      <c r="F8" s="10" t="s">
        <v>151</v>
      </c>
      <c r="G8" s="10" t="s">
        <v>152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</row>
    <row r="9" customFormat="false" ht="35.05" hidden="false" customHeight="false" outlineLevel="0" collapsed="false">
      <c r="A9" s="9" t="n">
        <v>7</v>
      </c>
      <c r="B9" s="10" t="s">
        <v>153</v>
      </c>
      <c r="C9" s="10" t="s">
        <v>154</v>
      </c>
      <c r="D9" s="10" t="s">
        <v>155</v>
      </c>
      <c r="E9" s="10"/>
      <c r="F9" s="10" t="s">
        <v>156</v>
      </c>
      <c r="G9" s="10" t="s">
        <v>157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</row>
    <row r="10" customFormat="false" ht="35.05" hidden="false" customHeight="false" outlineLevel="0" collapsed="false">
      <c r="A10" s="9" t="n">
        <v>8</v>
      </c>
      <c r="B10" s="10" t="s">
        <v>158</v>
      </c>
      <c r="C10" s="10" t="s">
        <v>159</v>
      </c>
      <c r="D10" s="10" t="s">
        <v>160</v>
      </c>
      <c r="E10" s="10"/>
      <c r="F10" s="10" t="s">
        <v>161</v>
      </c>
      <c r="G10" s="10" t="s">
        <v>162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</row>
    <row r="11" customFormat="false" ht="35.05" hidden="false" customHeight="false" outlineLevel="0" collapsed="false">
      <c r="A11" s="9" t="n">
        <v>9</v>
      </c>
      <c r="B11" s="10" t="s">
        <v>163</v>
      </c>
      <c r="C11" s="10" t="s">
        <v>164</v>
      </c>
      <c r="D11" s="10" t="s">
        <v>165</v>
      </c>
      <c r="E11" s="10"/>
      <c r="F11" s="10" t="s">
        <v>166</v>
      </c>
      <c r="G11" s="10" t="s">
        <v>167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 customFormat="false" ht="35.05" hidden="false" customHeight="false" outlineLevel="0" collapsed="false">
      <c r="A12" s="9" t="n">
        <v>10</v>
      </c>
      <c r="B12" s="10" t="s">
        <v>168</v>
      </c>
      <c r="C12" s="10" t="s">
        <v>169</v>
      </c>
      <c r="D12" s="10" t="s">
        <v>170</v>
      </c>
      <c r="E12" s="10"/>
      <c r="F12" s="10" t="s">
        <v>171</v>
      </c>
      <c r="G12" s="10" t="s">
        <v>172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 customFormat="false" ht="35.05" hidden="false" customHeight="false" outlineLevel="0" collapsed="false">
      <c r="A13" s="9" t="n">
        <v>11</v>
      </c>
      <c r="B13" s="10" t="s">
        <v>173</v>
      </c>
      <c r="C13" s="10" t="s">
        <v>174</v>
      </c>
      <c r="D13" s="10" t="s">
        <v>175</v>
      </c>
      <c r="E13" s="10"/>
      <c r="F13" s="10" t="s">
        <v>176</v>
      </c>
      <c r="G13" s="10" t="s">
        <v>177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 customFormat="false" ht="35.05" hidden="false" customHeight="false" outlineLevel="0" collapsed="false">
      <c r="A14" s="9" t="n">
        <v>12</v>
      </c>
      <c r="B14" s="10" t="s">
        <v>178</v>
      </c>
      <c r="C14" s="10" t="s">
        <v>179</v>
      </c>
      <c r="D14" s="10" t="s">
        <v>180</v>
      </c>
      <c r="E14" s="10"/>
      <c r="F14" s="10" t="s">
        <v>181</v>
      </c>
      <c r="G14" s="10" t="s">
        <v>182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 customFormat="false" ht="35.05" hidden="false" customHeight="false" outlineLevel="0" collapsed="false">
      <c r="A15" s="9" t="n">
        <v>13</v>
      </c>
      <c r="B15" s="10" t="s">
        <v>183</v>
      </c>
      <c r="C15" s="10" t="s">
        <v>184</v>
      </c>
      <c r="D15" s="10" t="s">
        <v>185</v>
      </c>
      <c r="E15" s="10"/>
      <c r="F15" s="10" t="s">
        <v>186</v>
      </c>
      <c r="G15" s="10" t="s">
        <v>187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 customFormat="false" ht="35.05" hidden="false" customHeight="false" outlineLevel="0" collapsed="false">
      <c r="A16" s="9" t="n">
        <v>14</v>
      </c>
      <c r="B16" s="10" t="s">
        <v>188</v>
      </c>
      <c r="C16" s="10" t="s">
        <v>189</v>
      </c>
      <c r="D16" s="10" t="s">
        <v>190</v>
      </c>
      <c r="E16" s="10"/>
      <c r="F16" s="10" t="s">
        <v>191</v>
      </c>
      <c r="G16" s="10" t="s">
        <v>192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 customFormat="false" ht="35.05" hidden="false" customHeight="false" outlineLevel="0" collapsed="false">
      <c r="A17" s="9" t="n">
        <v>15</v>
      </c>
      <c r="B17" s="10" t="s">
        <v>193</v>
      </c>
      <c r="C17" s="10" t="s">
        <v>194</v>
      </c>
      <c r="D17" s="10" t="s">
        <v>195</v>
      </c>
      <c r="E17" s="10"/>
      <c r="F17" s="10" t="s">
        <v>196</v>
      </c>
      <c r="G17" s="10" t="s">
        <v>197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 customFormat="false" ht="35.05" hidden="false" customHeight="false" outlineLevel="0" collapsed="false">
      <c r="A18" s="9" t="n">
        <v>16</v>
      </c>
      <c r="B18" s="10" t="s">
        <v>198</v>
      </c>
      <c r="C18" s="10" t="s">
        <v>199</v>
      </c>
      <c r="D18" s="10" t="s">
        <v>200</v>
      </c>
      <c r="E18" s="10"/>
      <c r="F18" s="10" t="s">
        <v>201</v>
      </c>
      <c r="G18" s="10" t="s">
        <v>202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 customFormat="false" ht="35.05" hidden="false" customHeight="false" outlineLevel="0" collapsed="false">
      <c r="A19" s="9" t="n">
        <v>17</v>
      </c>
      <c r="B19" s="10" t="s">
        <v>203</v>
      </c>
      <c r="C19" s="10" t="s">
        <v>204</v>
      </c>
      <c r="D19" s="10" t="s">
        <v>205</v>
      </c>
      <c r="E19" s="10"/>
      <c r="F19" s="10" t="s">
        <v>206</v>
      </c>
      <c r="G19" s="10" t="s">
        <v>207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 customFormat="false" ht="35.05" hidden="false" customHeight="false" outlineLevel="0" collapsed="false">
      <c r="A20" s="9" t="n">
        <v>18</v>
      </c>
      <c r="B20" s="10" t="s">
        <v>208</v>
      </c>
      <c r="C20" s="10" t="s">
        <v>209</v>
      </c>
      <c r="D20" s="10" t="s">
        <v>210</v>
      </c>
      <c r="E20" s="10"/>
      <c r="F20" s="10" t="s">
        <v>211</v>
      </c>
      <c r="G20" s="10" t="s">
        <v>212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customFormat="false" ht="35.05" hidden="false" customHeight="false" outlineLevel="0" collapsed="false">
      <c r="A21" s="9" t="n">
        <v>19</v>
      </c>
      <c r="B21" s="10" t="s">
        <v>213</v>
      </c>
      <c r="C21" s="10" t="s">
        <v>214</v>
      </c>
      <c r="D21" s="10" t="s">
        <v>215</v>
      </c>
      <c r="E21" s="10"/>
      <c r="F21" s="10" t="s">
        <v>216</v>
      </c>
      <c r="G21" s="10" t="s">
        <v>217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customFormat="false" ht="35.05" hidden="false" customHeight="false" outlineLevel="0" collapsed="false">
      <c r="A22" s="9" t="n">
        <v>20</v>
      </c>
      <c r="B22" s="10" t="s">
        <v>218</v>
      </c>
      <c r="C22" s="10" t="s">
        <v>219</v>
      </c>
      <c r="D22" s="10" t="s">
        <v>220</v>
      </c>
      <c r="E22" s="10"/>
      <c r="F22" s="10" t="s">
        <v>221</v>
      </c>
      <c r="G22" s="10" t="s">
        <v>222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customFormat="false" ht="35.05" hidden="false" customHeight="false" outlineLevel="0" collapsed="false">
      <c r="A23" s="9" t="n">
        <v>21</v>
      </c>
      <c r="B23" s="10" t="s">
        <v>223</v>
      </c>
      <c r="C23" s="10" t="s">
        <v>224</v>
      </c>
      <c r="D23" s="10" t="s">
        <v>225</v>
      </c>
      <c r="E23" s="10"/>
      <c r="F23" s="10" t="s">
        <v>226</v>
      </c>
      <c r="G23" s="10" t="s">
        <v>227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customFormat="false" ht="35.05" hidden="false" customHeight="false" outlineLevel="0" collapsed="false">
      <c r="A24" s="9" t="n">
        <v>22</v>
      </c>
      <c r="B24" s="10" t="s">
        <v>228</v>
      </c>
      <c r="C24" s="10" t="s">
        <v>229</v>
      </c>
      <c r="D24" s="10" t="s">
        <v>230</v>
      </c>
      <c r="E24" s="10"/>
      <c r="F24" s="10" t="s">
        <v>226</v>
      </c>
      <c r="G24" s="10" t="s">
        <v>231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customFormat="false" ht="35.05" hidden="false" customHeight="false" outlineLevel="0" collapsed="false">
      <c r="A25" s="9" t="n">
        <v>23</v>
      </c>
      <c r="B25" s="10" t="s">
        <v>232</v>
      </c>
      <c r="C25" s="10" t="s">
        <v>233</v>
      </c>
      <c r="D25" s="10" t="s">
        <v>234</v>
      </c>
      <c r="E25" s="10"/>
      <c r="F25" s="10" t="s">
        <v>226</v>
      </c>
      <c r="G25" s="10" t="s">
        <v>235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customFormat="false" ht="35.05" hidden="false" customHeight="false" outlineLevel="0" collapsed="false">
      <c r="A26" s="9" t="n">
        <v>24</v>
      </c>
      <c r="B26" s="10" t="s">
        <v>236</v>
      </c>
      <c r="C26" s="10" t="s">
        <v>237</v>
      </c>
      <c r="D26" s="10" t="s">
        <v>238</v>
      </c>
      <c r="E26" s="10"/>
      <c r="F26" s="10" t="s">
        <v>226</v>
      </c>
      <c r="G26" s="10" t="s">
        <v>239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customFormat="false" ht="35.05" hidden="false" customHeight="false" outlineLevel="0" collapsed="false">
      <c r="A27" s="9" t="n">
        <v>25</v>
      </c>
      <c r="B27" s="10" t="s">
        <v>240</v>
      </c>
      <c r="C27" s="10" t="s">
        <v>241</v>
      </c>
      <c r="D27" s="10" t="s">
        <v>242</v>
      </c>
      <c r="E27" s="10"/>
      <c r="F27" s="10" t="s">
        <v>226</v>
      </c>
      <c r="G27" s="10" t="s">
        <v>243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customFormat="false" ht="35.05" hidden="false" customHeight="false" outlineLevel="0" collapsed="false">
      <c r="A28" s="9" t="n">
        <v>26</v>
      </c>
      <c r="B28" s="10" t="s">
        <v>244</v>
      </c>
      <c r="C28" s="10" t="s">
        <v>245</v>
      </c>
      <c r="D28" s="10" t="s">
        <v>246</v>
      </c>
      <c r="E28" s="10"/>
      <c r="F28" s="10" t="s">
        <v>226</v>
      </c>
      <c r="G28" s="10" t="s">
        <v>247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customFormat="false" ht="35.05" hidden="false" customHeight="false" outlineLevel="0" collapsed="false">
      <c r="A29" s="9" t="n">
        <v>27</v>
      </c>
      <c r="B29" s="10" t="s">
        <v>248</v>
      </c>
      <c r="C29" s="10" t="s">
        <v>249</v>
      </c>
      <c r="D29" s="10" t="s">
        <v>250</v>
      </c>
      <c r="E29" s="10"/>
      <c r="F29" s="10" t="s">
        <v>226</v>
      </c>
      <c r="G29" s="10" t="s">
        <v>251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customFormat="false" ht="15" hidden="false" customHeight="false" outlineLevel="0" collapsed="false">
      <c r="A30" s="9" t="n">
        <v>28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customFormat="false" ht="15" hidden="false" customHeight="false" outlineLevel="0" collapsed="false">
      <c r="A31" s="9" t="n">
        <v>29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customFormat="false" ht="15" hidden="false" customHeight="false" outlineLevel="0" collapsed="false">
      <c r="A32" s="9" t="n">
        <v>30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customFormat="false" ht="15" hidden="false" customHeight="false" outlineLevel="0" collapsed="false">
      <c r="A33" s="9" t="n">
        <v>31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customFormat="false" ht="15" hidden="false" customHeight="false" outlineLevel="0" collapsed="false">
      <c r="A34" s="9" t="n">
        <v>32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customFormat="false" ht="15" hidden="false" customHeight="false" outlineLevel="0" collapsed="false">
      <c r="A35" s="9" t="n">
        <v>33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customFormat="false" ht="15" hidden="false" customHeight="false" outlineLevel="0" collapsed="false">
      <c r="A36" s="9" t="n">
        <v>34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customFormat="false" ht="15" hidden="false" customHeight="false" outlineLevel="0" collapsed="false">
      <c r="A37" s="9" t="n">
        <v>35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customFormat="false" ht="15" hidden="false" customHeight="false" outlineLevel="0" collapsed="false">
      <c r="A38" s="9" t="n">
        <v>36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customFormat="false" ht="15" hidden="false" customHeight="false" outlineLevel="0" collapsed="false">
      <c r="A39" s="9" t="n">
        <v>37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customFormat="false" ht="15" hidden="false" customHeight="false" outlineLevel="0" collapsed="false">
      <c r="A40" s="9" t="n">
        <v>38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customFormat="false" ht="15" hidden="false" customHeight="false" outlineLevel="0" collapsed="false">
      <c r="A41" s="9" t="n">
        <v>39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customFormat="false" ht="15" hidden="false" customHeight="false" outlineLevel="0" collapsed="false">
      <c r="A42" s="9" t="n">
        <v>40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customFormat="false" ht="15" hidden="false" customHeight="false" outlineLevel="0" collapsed="false">
      <c r="A43" s="9" t="n">
        <v>41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customFormat="false" ht="15" hidden="false" customHeight="false" outlineLevel="0" collapsed="false">
      <c r="A44" s="9" t="n">
        <v>42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customFormat="false" ht="15" hidden="false" customHeight="false" outlineLevel="0" collapsed="false">
      <c r="A45" s="9" t="n">
        <v>43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customFormat="false" ht="15" hidden="false" customHeight="false" outlineLevel="0" collapsed="false">
      <c r="A46" s="9" t="n">
        <v>44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customFormat="false" ht="15" hidden="false" customHeight="false" outlineLevel="0" collapsed="false">
      <c r="A47" s="9" t="n">
        <v>45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customFormat="false" ht="15" hidden="false" customHeight="false" outlineLevel="0" collapsed="false">
      <c r="A48" s="9" t="n">
        <v>46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customFormat="false" ht="15" hidden="false" customHeight="false" outlineLevel="0" collapsed="false">
      <c r="A49" s="9" t="n">
        <v>47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customFormat="false" ht="15" hidden="false" customHeight="false" outlineLevel="0" collapsed="false">
      <c r="A50" s="9" t="n">
        <v>48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customFormat="false" ht="15" hidden="false" customHeight="false" outlineLevel="0" collapsed="false">
      <c r="A51" s="9" t="n">
        <v>49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customFormat="false" ht="15" hidden="false" customHeight="false" outlineLevel="0" collapsed="false">
      <c r="A52" s="9" t="n">
        <v>50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customFormat="false" ht="15" hidden="false" customHeight="false" outlineLevel="0" collapsed="false">
      <c r="A53" s="9" t="n">
        <v>51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customFormat="false" ht="15" hidden="false" customHeight="false" outlineLevel="0" collapsed="false">
      <c r="A54" s="9" t="n">
        <v>52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customFormat="false" ht="15" hidden="false" customHeight="false" outlineLevel="0" collapsed="false">
      <c r="A55" s="9" t="n">
        <v>53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customFormat="false" ht="15" hidden="false" customHeight="false" outlineLevel="0" collapsed="false">
      <c r="A56" s="9" t="n">
        <v>54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customFormat="false" ht="15" hidden="false" customHeight="false" outlineLevel="0" collapsed="false">
      <c r="A57" s="9" t="n">
        <v>55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customFormat="false" ht="15" hidden="false" customHeight="false" outlineLevel="0" collapsed="false">
      <c r="A58" s="9" t="n">
        <v>56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customFormat="false" ht="15" hidden="false" customHeight="false" outlineLevel="0" collapsed="false">
      <c r="A59" s="9" t="n">
        <v>57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customFormat="false" ht="15" hidden="false" customHeight="false" outlineLevel="0" collapsed="false">
      <c r="A60" s="9" t="n">
        <v>58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customFormat="false" ht="15" hidden="false" customHeight="false" outlineLevel="0" collapsed="false">
      <c r="A61" s="9" t="n">
        <v>59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customFormat="false" ht="15" hidden="false" customHeight="false" outlineLevel="0" collapsed="false">
      <c r="A62" s="9" t="n">
        <v>60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</sheetData>
  <autoFilter ref="A1:BB62"/>
  <dataValidations count="14">
    <dataValidation allowBlank="true" error="Pick a value from the list." errorStyle="stop" errorTitle="Invalid entry" operator="between" showDropDown="false" showErrorMessage="false" showInputMessage="false" sqref="E3:E62" type="list">
      <formula1>"YES,NO"</formula1>
      <formula2>0</formula2>
    </dataValidation>
    <dataValidation allowBlank="true" error="Pick a value from the list." errorStyle="stop" errorTitle="Invalid entry" operator="between" showDropDown="false" showErrorMessage="false" showInputMessage="false" sqref="L3:L62" type="list">
      <formula1>"FACTORY,TRADING,NOT CLEAR"</formula1>
      <formula2>0</formula2>
    </dataValidation>
    <dataValidation allowBlank="true" error="Pick a value from the list." errorStyle="stop" errorTitle="Invalid entry" operator="between" showDropDown="false" showErrorMessage="false" showInputMessage="false" sqref="N3:N62" type="list">
      <formula1>"STRONG,MODERATE,WEAK"</formula1>
      <formula2>0</formula2>
    </dataValidation>
    <dataValidation allowBlank="true" error="Pick a value from the list." errorStyle="stop" errorTitle="Invalid entry" operator="between" showDropDown="false" showErrorMessage="false" showInputMessage="false" sqref="V3:V62" type="list">
      <formula1>"YES,NO,NOT CLEAR"</formula1>
      <formula2>0</formula2>
    </dataValidation>
    <dataValidation allowBlank="true" error="Pick a value from the list." errorStyle="stop" errorTitle="Invalid entry" operator="between" showDropDown="false" showErrorMessage="false" showInputMessage="false" sqref="X3:X62" type="list">
      <formula1>"YES,NO,NOT SHOWN"</formula1>
      <formula2>0</formula2>
    </dataValidation>
    <dataValidation allowBlank="true" error="Pick a value from the list." errorStyle="stop" errorTitle="Invalid entry" operator="between" showDropDown="false" showErrorMessage="false" showInputMessage="false" sqref="Y3:Y62" type="list">
      <formula1>"YES,NO,NOT SHOWN"</formula1>
      <formula2>0</formula2>
    </dataValidation>
    <dataValidation allowBlank="true" error="Pick a value from the list." errorStyle="stop" errorTitle="Invalid entry" operator="between" showDropDown="false" showErrorMessage="false" showInputMessage="false" sqref="AH3:AH62" type="list">
      <formula1>"YES,NO,NONE EXIST"</formula1>
      <formula2>0</formula2>
    </dataValidation>
    <dataValidation allowBlank="true" error="Pick a value from the list." errorStyle="stop" errorTitle="Invalid entry" operator="between" showDropDown="false" showErrorMessage="false" showInputMessage="false" sqref="AL3:AL62" type="list">
      <formula1>"YES,NO,NOT CLEAR"</formula1>
      <formula2>0</formula2>
    </dataValidation>
    <dataValidation allowBlank="true" error="Pick a value from the list." errorStyle="stop" errorTitle="Invalid entry" operator="between" showDropDown="false" showErrorMessage="false" showInputMessage="false" sqref="AM3:AM62" type="list">
      <formula1>"YES,NO,NOT CLEAR"</formula1>
      <formula2>0</formula2>
    </dataValidation>
    <dataValidation allowBlank="true" error="Pick a value from the list." errorStyle="stop" errorTitle="Invalid entry" operator="between" showDropDown="false" showErrorMessage="false" showInputMessage="false" sqref="AO3:AO62" type="list">
      <formula1>"YES,NO,NOT CLEAR"</formula1>
      <formula2>0</formula2>
    </dataValidation>
    <dataValidation allowBlank="true" error="Pick a value from the list." errorStyle="stop" errorTitle="Invalid entry" operator="between" showDropDown="false" showErrorMessage="false" showInputMessage="false" sqref="AS3:AS62" type="list">
      <formula1>"YES,NO,NOT CLEAR"</formula1>
      <formula2>0</formula2>
    </dataValidation>
    <dataValidation allowBlank="true" error="Pick a value from the list." errorStyle="stop" errorTitle="Invalid entry" operator="between" showDropDown="false" showErrorMessage="false" showInputMessage="false" sqref="AT3:AT62" type="list">
      <formula1>"YES,NO,NOT CLEAR"</formula1>
      <formula2>0</formula2>
    </dataValidation>
    <dataValidation allowBlank="true" error="Pick a value from the list." errorStyle="stop" errorTitle="Invalid entry" operator="between" showDropDown="false" showErrorMessage="false" showInputMessage="false" sqref="AZ3:AZ62" type="list">
      <formula1>"YES,NO,NOT CLEAR"</formula1>
      <formula2>0</formula2>
    </dataValidation>
    <dataValidation allowBlank="true" error="Alibaba ratings run from 0 to 5." errorStyle="stop" errorTitle="Rating out of range" operator="between" showDropDown="false" showErrorMessage="false" showInputMessage="false" sqref="AF3:AF62" type="decimal">
      <formula1>0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10" min="3" style="0" width="13"/>
    <col collapsed="false" customWidth="true" hidden="false" outlineLevel="0" max="11" min="11" style="0" width="10"/>
    <col collapsed="false" customWidth="true" hidden="false" outlineLevel="0" max="13" min="12" style="0" width="14"/>
    <col collapsed="false" customWidth="true" hidden="false" outlineLevel="0" max="14" min="14" style="0" width="10"/>
    <col collapsed="false" customWidth="true" hidden="false" outlineLevel="0" max="16" min="15" style="0" width="11"/>
    <col collapsed="false" customWidth="true" hidden="false" outlineLevel="0" max="19" min="17" style="0" width="10"/>
  </cols>
  <sheetData>
    <row r="1" customFormat="false" ht="17.35" hidden="false" customHeight="false" outlineLevel="0" collapsed="false">
      <c r="A1" s="11" t="s">
        <v>252</v>
      </c>
    </row>
    <row r="2" customFormat="false" ht="15" hidden="false" customHeight="true" outlineLevel="0" collapsed="false">
      <c r="A2" s="12" t="s">
        <v>253</v>
      </c>
      <c r="B2" s="13" t="n">
        <v>80</v>
      </c>
      <c r="C2" s="14" t="s">
        <v>254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customFormat="false" ht="15" hidden="false" customHeight="false" outlineLevel="0" collapsed="false">
      <c r="A3" s="12" t="s">
        <v>255</v>
      </c>
      <c r="B3" s="13" t="n">
        <v>60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5" customFormat="false" ht="60" hidden="false" customHeight="true" outlineLevel="0" collapsed="false">
      <c r="A5" s="7" t="s">
        <v>28</v>
      </c>
      <c r="B5" s="7" t="s">
        <v>256</v>
      </c>
      <c r="C5" s="7" t="s">
        <v>257</v>
      </c>
      <c r="D5" s="7" t="s">
        <v>258</v>
      </c>
      <c r="E5" s="7" t="s">
        <v>259</v>
      </c>
      <c r="F5" s="7" t="s">
        <v>260</v>
      </c>
      <c r="G5" s="7" t="s">
        <v>261</v>
      </c>
      <c r="H5" s="7" t="s">
        <v>262</v>
      </c>
      <c r="I5" s="7" t="s">
        <v>263</v>
      </c>
      <c r="J5" s="7" t="s">
        <v>264</v>
      </c>
      <c r="K5" s="7" t="s">
        <v>265</v>
      </c>
      <c r="L5" s="7" t="s">
        <v>266</v>
      </c>
      <c r="M5" s="7" t="s">
        <v>267</v>
      </c>
      <c r="N5" s="7" t="s">
        <v>268</v>
      </c>
      <c r="O5" s="7" t="s">
        <v>269</v>
      </c>
      <c r="P5" s="7" t="s">
        <v>270</v>
      </c>
      <c r="Q5" s="7" t="s">
        <v>271</v>
      </c>
      <c r="R5" s="7" t="s">
        <v>272</v>
      </c>
      <c r="S5" s="7" t="s">
        <v>273</v>
      </c>
    </row>
    <row r="6" customFormat="false" ht="23.85" hidden="false" customHeight="false" outlineLevel="0" collapsed="false">
      <c r="A6" s="15" t="n">
        <v>1</v>
      </c>
      <c r="B6" s="9" t="str">
        <f aca="false">IF('Inspection Log'!B3="","",'Inspection Log'!B3)</f>
        <v>Beijing Chengdong International Modular Housing Corporation</v>
      </c>
      <c r="C6" s="16"/>
      <c r="D6" s="16"/>
      <c r="E6" s="16"/>
      <c r="F6" s="16"/>
      <c r="G6" s="16"/>
      <c r="H6" s="16"/>
      <c r="I6" s="16"/>
      <c r="J6" s="16"/>
      <c r="K6" s="15" t="str">
        <f aca="false">IF(COUNT(C6:J6)=0,"",SUM(C6:J6))</f>
        <v/>
      </c>
      <c r="L6" s="15" t="str">
        <f aca="false">IF('Inspection Log'!L3="","",'Inspection Log'!L3)</f>
        <v/>
      </c>
      <c r="M6" s="15" t="str">
        <f aca="false">IF('Inspection Log'!AO3="","",'Inspection Log'!AO3)</f>
        <v/>
      </c>
      <c r="N6" s="15" t="str">
        <f aca="false">IF(K6="","",IF(AND(L6="FACTORY",M6="YES"),"PASS","FAIL"))</f>
        <v/>
      </c>
      <c r="O6" s="15" t="str">
        <f aca="false">IF(K6="","",IF(N6="FAIL","C",IF(K6&gt;=$B$2,"A",IF(K6&gt;=$B$3,"B","C"))))</f>
        <v/>
      </c>
      <c r="P6" s="16"/>
      <c r="Q6" s="15" t="str">
        <f aca="false">IF(P6&lt;&gt;"",P6,O6)</f>
        <v/>
      </c>
      <c r="R6" s="17" t="str">
        <f aca="false">IF(OR(K6="",Q6="",Q6="C"),"",K6+(1000-A6)/100000)</f>
        <v/>
      </c>
      <c r="S6" s="15" t="str">
        <f aca="false">IF(R6="","",RANK(R6,$R$6:$R$65))</f>
        <v/>
      </c>
    </row>
    <row r="7" customFormat="false" ht="15" hidden="false" customHeight="false" outlineLevel="0" collapsed="false">
      <c r="A7" s="15" t="n">
        <v>2</v>
      </c>
      <c r="B7" s="9" t="str">
        <f aca="false">IF('Inspection Log'!B4="","",'Inspection Log'!B4)</f>
        <v>Ningbo Deepblue Smarthouse Co., Ltd.</v>
      </c>
      <c r="C7" s="16"/>
      <c r="D7" s="16"/>
      <c r="E7" s="16"/>
      <c r="F7" s="16"/>
      <c r="G7" s="16"/>
      <c r="H7" s="16"/>
      <c r="I7" s="16"/>
      <c r="J7" s="16"/>
      <c r="K7" s="15" t="str">
        <f aca="false">IF(COUNT(C7:J7)=0,"",SUM(C7:J7))</f>
        <v/>
      </c>
      <c r="L7" s="15" t="str">
        <f aca="false">IF('Inspection Log'!L4="","",'Inspection Log'!L4)</f>
        <v/>
      </c>
      <c r="M7" s="15" t="str">
        <f aca="false">IF('Inspection Log'!AO4="","",'Inspection Log'!AO4)</f>
        <v/>
      </c>
      <c r="N7" s="15" t="str">
        <f aca="false">IF(K7="","",IF(AND(L7="FACTORY",M7="YES"),"PASS","FAIL"))</f>
        <v/>
      </c>
      <c r="O7" s="15" t="str">
        <f aca="false">IF(K7="","",IF(N7="FAIL","C",IF(K7&gt;=$B$2,"A",IF(K7&gt;=$B$3,"B","C"))))</f>
        <v/>
      </c>
      <c r="P7" s="16"/>
      <c r="Q7" s="15" t="str">
        <f aca="false">IF(P7&lt;&gt;"",P7,O7)</f>
        <v/>
      </c>
      <c r="R7" s="17" t="str">
        <f aca="false">IF(OR(K7="",Q7="",Q7="C"),"",K7+(1000-A7)/100000)</f>
        <v/>
      </c>
      <c r="S7" s="15" t="str">
        <f aca="false">IF(R7="","",RANK(R7,$R$6:$R$65))</f>
        <v/>
      </c>
    </row>
    <row r="8" customFormat="false" ht="23.85" hidden="false" customHeight="false" outlineLevel="0" collapsed="false">
      <c r="A8" s="15" t="n">
        <v>3</v>
      </c>
      <c r="B8" s="9" t="str">
        <f aca="false">IF('Inspection Log'!B5="","",'Inspection Log'!B5)</f>
        <v>Hebei Weizhengheng Modular House Technology Co., Ltd.</v>
      </c>
      <c r="C8" s="16"/>
      <c r="D8" s="16"/>
      <c r="E8" s="16"/>
      <c r="F8" s="16"/>
      <c r="G8" s="16"/>
      <c r="H8" s="16"/>
      <c r="I8" s="16"/>
      <c r="J8" s="16"/>
      <c r="K8" s="15" t="str">
        <f aca="false">IF(COUNT(C8:J8)=0,"",SUM(C8:J8))</f>
        <v/>
      </c>
      <c r="L8" s="15" t="str">
        <f aca="false">IF('Inspection Log'!L5="","",'Inspection Log'!L5)</f>
        <v/>
      </c>
      <c r="M8" s="15" t="str">
        <f aca="false">IF('Inspection Log'!AO5="","",'Inspection Log'!AO5)</f>
        <v/>
      </c>
      <c r="N8" s="15" t="str">
        <f aca="false">IF(K8="","",IF(AND(L8="FACTORY",M8="YES"),"PASS","FAIL"))</f>
        <v/>
      </c>
      <c r="O8" s="15" t="str">
        <f aca="false">IF(K8="","",IF(N8="FAIL","C",IF(K8&gt;=$B$2,"A",IF(K8&gt;=$B$3,"B","C"))))</f>
        <v/>
      </c>
      <c r="P8" s="16"/>
      <c r="Q8" s="15" t="str">
        <f aca="false">IF(P8&lt;&gt;"",P8,O8)</f>
        <v/>
      </c>
      <c r="R8" s="17" t="str">
        <f aca="false">IF(OR(K8="",Q8="",Q8="C"),"",K8+(1000-A8)/100000)</f>
        <v/>
      </c>
      <c r="S8" s="15" t="str">
        <f aca="false">IF(R8="","",RANK(R8,$R$6:$R$65))</f>
        <v/>
      </c>
    </row>
    <row r="9" customFormat="false" ht="15" hidden="false" customHeight="false" outlineLevel="0" collapsed="false">
      <c r="A9" s="15" t="n">
        <v>4</v>
      </c>
      <c r="B9" s="9" t="str">
        <f aca="false">IF('Inspection Log'!B6="","",'Inspection Log'!B6)</f>
        <v>Zhejiang Putian Integrated Housing Co., Ltd.</v>
      </c>
      <c r="C9" s="16"/>
      <c r="D9" s="16"/>
      <c r="E9" s="16"/>
      <c r="F9" s="16"/>
      <c r="G9" s="16"/>
      <c r="H9" s="16"/>
      <c r="I9" s="16"/>
      <c r="J9" s="16"/>
      <c r="K9" s="15" t="str">
        <f aca="false">IF(COUNT(C9:J9)=0,"",SUM(C9:J9))</f>
        <v/>
      </c>
      <c r="L9" s="15" t="str">
        <f aca="false">IF('Inspection Log'!L6="","",'Inspection Log'!L6)</f>
        <v/>
      </c>
      <c r="M9" s="15" t="str">
        <f aca="false">IF('Inspection Log'!AO6="","",'Inspection Log'!AO6)</f>
        <v/>
      </c>
      <c r="N9" s="15" t="str">
        <f aca="false">IF(K9="","",IF(AND(L9="FACTORY",M9="YES"),"PASS","FAIL"))</f>
        <v/>
      </c>
      <c r="O9" s="15" t="str">
        <f aca="false">IF(K9="","",IF(N9="FAIL","C",IF(K9&gt;=$B$2,"A",IF(K9&gt;=$B$3,"B","C"))))</f>
        <v/>
      </c>
      <c r="P9" s="16"/>
      <c r="Q9" s="15" t="str">
        <f aca="false">IF(P9&lt;&gt;"",P9,O9)</f>
        <v/>
      </c>
      <c r="R9" s="17" t="str">
        <f aca="false">IF(OR(K9="",Q9="",Q9="C"),"",K9+(1000-A9)/100000)</f>
        <v/>
      </c>
      <c r="S9" s="15" t="str">
        <f aca="false">IF(R9="","",RANK(R9,$R$6:$R$65))</f>
        <v/>
      </c>
    </row>
    <row r="10" customFormat="false" ht="15" hidden="false" customHeight="false" outlineLevel="0" collapsed="false">
      <c r="A10" s="15" t="n">
        <v>5</v>
      </c>
      <c r="B10" s="9" t="str">
        <f aca="false">IF('Inspection Log'!B7="","",'Inspection Log'!B7)</f>
        <v>Zhuhai Remac Space Co., Ltd.</v>
      </c>
      <c r="C10" s="16"/>
      <c r="D10" s="16"/>
      <c r="E10" s="16"/>
      <c r="F10" s="16"/>
      <c r="G10" s="16"/>
      <c r="H10" s="16"/>
      <c r="I10" s="16"/>
      <c r="J10" s="16"/>
      <c r="K10" s="15" t="str">
        <f aca="false">IF(COUNT(C10:J10)=0,"",SUM(C10:J10))</f>
        <v/>
      </c>
      <c r="L10" s="15" t="str">
        <f aca="false">IF('Inspection Log'!L7="","",'Inspection Log'!L7)</f>
        <v/>
      </c>
      <c r="M10" s="15" t="str">
        <f aca="false">IF('Inspection Log'!AO7="","",'Inspection Log'!AO7)</f>
        <v/>
      </c>
      <c r="N10" s="15" t="str">
        <f aca="false">IF(K10="","",IF(AND(L10="FACTORY",M10="YES"),"PASS","FAIL"))</f>
        <v/>
      </c>
      <c r="O10" s="15" t="str">
        <f aca="false">IF(K10="","",IF(N10="FAIL","C",IF(K10&gt;=$B$2,"A",IF(K10&gt;=$B$3,"B","C"))))</f>
        <v/>
      </c>
      <c r="P10" s="16"/>
      <c r="Q10" s="15" t="str">
        <f aca="false">IF(P10&lt;&gt;"",P10,O10)</f>
        <v/>
      </c>
      <c r="R10" s="17" t="str">
        <f aca="false">IF(OR(K10="",Q10="",Q10="C"),"",K10+(1000-A10)/100000)</f>
        <v/>
      </c>
      <c r="S10" s="15" t="str">
        <f aca="false">IF(R10="","",RANK(R10,$R$6:$R$65))</f>
        <v/>
      </c>
    </row>
    <row r="11" customFormat="false" ht="23.85" hidden="false" customHeight="false" outlineLevel="0" collapsed="false">
      <c r="A11" s="15" t="n">
        <v>6</v>
      </c>
      <c r="B11" s="9" t="str">
        <f aca="false">IF('Inspection Log'!B8="","",'Inspection Log'!B8)</f>
        <v>Guangdong Zhonghuilvjian Moving House Technology Co., Ltd.</v>
      </c>
      <c r="C11" s="16"/>
      <c r="D11" s="16"/>
      <c r="E11" s="16"/>
      <c r="F11" s="16"/>
      <c r="G11" s="16"/>
      <c r="H11" s="16"/>
      <c r="I11" s="16"/>
      <c r="J11" s="16"/>
      <c r="K11" s="15" t="str">
        <f aca="false">IF(COUNT(C11:J11)=0,"",SUM(C11:J11))</f>
        <v/>
      </c>
      <c r="L11" s="15" t="str">
        <f aca="false">IF('Inspection Log'!L8="","",'Inspection Log'!L8)</f>
        <v/>
      </c>
      <c r="M11" s="15" t="str">
        <f aca="false">IF('Inspection Log'!AO8="","",'Inspection Log'!AO8)</f>
        <v/>
      </c>
      <c r="N11" s="15" t="str">
        <f aca="false">IF(K11="","",IF(AND(L11="FACTORY",M11="YES"),"PASS","FAIL"))</f>
        <v/>
      </c>
      <c r="O11" s="15" t="str">
        <f aca="false">IF(K11="","",IF(N11="FAIL","C",IF(K11&gt;=$B$2,"A",IF(K11&gt;=$B$3,"B","C"))))</f>
        <v/>
      </c>
      <c r="P11" s="16"/>
      <c r="Q11" s="15" t="str">
        <f aca="false">IF(P11&lt;&gt;"",P11,O11)</f>
        <v/>
      </c>
      <c r="R11" s="17" t="str">
        <f aca="false">IF(OR(K11="",Q11="",Q11="C"),"",K11+(1000-A11)/100000)</f>
        <v/>
      </c>
      <c r="S11" s="15" t="str">
        <f aca="false">IF(R11="","",RANK(R11,$R$6:$R$65))</f>
        <v/>
      </c>
    </row>
    <row r="12" customFormat="false" ht="15" hidden="false" customHeight="false" outlineLevel="0" collapsed="false">
      <c r="A12" s="15" t="n">
        <v>7</v>
      </c>
      <c r="B12" s="9" t="str">
        <f aca="false">IF('Inspection Log'!B9="","",'Inspection Log'!B9)</f>
        <v>Shandong Mars Cabin Technology Co., Ltd.</v>
      </c>
      <c r="C12" s="16"/>
      <c r="D12" s="16"/>
      <c r="E12" s="16"/>
      <c r="F12" s="16"/>
      <c r="G12" s="16"/>
      <c r="H12" s="16"/>
      <c r="I12" s="16"/>
      <c r="J12" s="16"/>
      <c r="K12" s="15" t="str">
        <f aca="false">IF(COUNT(C12:J12)=0,"",SUM(C12:J12))</f>
        <v/>
      </c>
      <c r="L12" s="15" t="str">
        <f aca="false">IF('Inspection Log'!L9="","",'Inspection Log'!L9)</f>
        <v/>
      </c>
      <c r="M12" s="15" t="str">
        <f aca="false">IF('Inspection Log'!AO9="","",'Inspection Log'!AO9)</f>
        <v/>
      </c>
      <c r="N12" s="15" t="str">
        <f aca="false">IF(K12="","",IF(AND(L12="FACTORY",M12="YES"),"PASS","FAIL"))</f>
        <v/>
      </c>
      <c r="O12" s="15" t="str">
        <f aca="false">IF(K12="","",IF(N12="FAIL","C",IF(K12&gt;=$B$2,"A",IF(K12&gt;=$B$3,"B","C"))))</f>
        <v/>
      </c>
      <c r="P12" s="16"/>
      <c r="Q12" s="15" t="str">
        <f aca="false">IF(P12&lt;&gt;"",P12,O12)</f>
        <v/>
      </c>
      <c r="R12" s="17" t="str">
        <f aca="false">IF(OR(K12="",Q12="",Q12="C"),"",K12+(1000-A12)/100000)</f>
        <v/>
      </c>
      <c r="S12" s="15" t="str">
        <f aca="false">IF(R12="","",RANK(R12,$R$6:$R$65))</f>
        <v/>
      </c>
    </row>
    <row r="13" customFormat="false" ht="23.85" hidden="false" customHeight="false" outlineLevel="0" collapsed="false">
      <c r="A13" s="15" t="n">
        <v>8</v>
      </c>
      <c r="B13" s="9" t="str">
        <f aca="false">IF('Inspection Log'!B10="","",'Inspection Log'!B10)</f>
        <v>Guangzhou Moneybox Steel Structure Engineering Co., Ltd.</v>
      </c>
      <c r="C13" s="16"/>
      <c r="D13" s="16"/>
      <c r="E13" s="16"/>
      <c r="F13" s="16"/>
      <c r="G13" s="16"/>
      <c r="H13" s="16"/>
      <c r="I13" s="16"/>
      <c r="J13" s="16"/>
      <c r="K13" s="15" t="str">
        <f aca="false">IF(COUNT(C13:J13)=0,"",SUM(C13:J13))</f>
        <v/>
      </c>
      <c r="L13" s="15" t="str">
        <f aca="false">IF('Inspection Log'!L10="","",'Inspection Log'!L10)</f>
        <v/>
      </c>
      <c r="M13" s="15" t="str">
        <f aca="false">IF('Inspection Log'!AO10="","",'Inspection Log'!AO10)</f>
        <v/>
      </c>
      <c r="N13" s="15" t="str">
        <f aca="false">IF(K13="","",IF(AND(L13="FACTORY",M13="YES"),"PASS","FAIL"))</f>
        <v/>
      </c>
      <c r="O13" s="15" t="str">
        <f aca="false">IF(K13="","",IF(N13="FAIL","C",IF(K13&gt;=$B$2,"A",IF(K13&gt;=$B$3,"B","C"))))</f>
        <v/>
      </c>
      <c r="P13" s="16"/>
      <c r="Q13" s="15" t="str">
        <f aca="false">IF(P13&lt;&gt;"",P13,O13)</f>
        <v/>
      </c>
      <c r="R13" s="17" t="str">
        <f aca="false">IF(OR(K13="",Q13="",Q13="C"),"",K13+(1000-A13)/100000)</f>
        <v/>
      </c>
      <c r="S13" s="15" t="str">
        <f aca="false">IF(R13="","",RANK(R13,$R$6:$R$65))</f>
        <v/>
      </c>
    </row>
    <row r="14" customFormat="false" ht="15" hidden="false" customHeight="false" outlineLevel="0" collapsed="false">
      <c r="A14" s="15" t="n">
        <v>9</v>
      </c>
      <c r="B14" s="9" t="str">
        <f aca="false">IF('Inspection Log'!B11="","",'Inspection Log'!B11)</f>
        <v>Foshan The Box Modular House Co., Ltd</v>
      </c>
      <c r="C14" s="16"/>
      <c r="D14" s="16"/>
      <c r="E14" s="16"/>
      <c r="F14" s="16"/>
      <c r="G14" s="16"/>
      <c r="H14" s="16"/>
      <c r="I14" s="16"/>
      <c r="J14" s="16"/>
      <c r="K14" s="15" t="str">
        <f aca="false">IF(COUNT(C14:J14)=0,"",SUM(C14:J14))</f>
        <v/>
      </c>
      <c r="L14" s="15" t="str">
        <f aca="false">IF('Inspection Log'!L11="","",'Inspection Log'!L11)</f>
        <v/>
      </c>
      <c r="M14" s="15" t="str">
        <f aca="false">IF('Inspection Log'!AO11="","",'Inspection Log'!AO11)</f>
        <v/>
      </c>
      <c r="N14" s="15" t="str">
        <f aca="false">IF(K14="","",IF(AND(L14="FACTORY",M14="YES"),"PASS","FAIL"))</f>
        <v/>
      </c>
      <c r="O14" s="15" t="str">
        <f aca="false">IF(K14="","",IF(N14="FAIL","C",IF(K14&gt;=$B$2,"A",IF(K14&gt;=$B$3,"B","C"))))</f>
        <v/>
      </c>
      <c r="P14" s="16"/>
      <c r="Q14" s="15" t="str">
        <f aca="false">IF(P14&lt;&gt;"",P14,O14)</f>
        <v/>
      </c>
      <c r="R14" s="17" t="str">
        <f aca="false">IF(OR(K14="",Q14="",Q14="C"),"",K14+(1000-A14)/100000)</f>
        <v/>
      </c>
      <c r="S14" s="15" t="str">
        <f aca="false">IF(R14="","",RANK(R14,$R$6:$R$65))</f>
        <v/>
      </c>
    </row>
    <row r="15" customFormat="false" ht="15" hidden="false" customHeight="false" outlineLevel="0" collapsed="false">
      <c r="A15" s="15" t="n">
        <v>10</v>
      </c>
      <c r="B15" s="9" t="str">
        <f aca="false">IF('Inspection Log'!B12="","",'Inspection Log'!B12)</f>
        <v>Fucheng Huaying Integrated Housing Co., Ltd.</v>
      </c>
      <c r="C15" s="16"/>
      <c r="D15" s="16"/>
      <c r="E15" s="16"/>
      <c r="F15" s="16"/>
      <c r="G15" s="16"/>
      <c r="H15" s="16"/>
      <c r="I15" s="16"/>
      <c r="J15" s="16"/>
      <c r="K15" s="15" t="str">
        <f aca="false">IF(COUNT(C15:J15)=0,"",SUM(C15:J15))</f>
        <v/>
      </c>
      <c r="L15" s="15" t="str">
        <f aca="false">IF('Inspection Log'!L12="","",'Inspection Log'!L12)</f>
        <v/>
      </c>
      <c r="M15" s="15" t="str">
        <f aca="false">IF('Inspection Log'!AO12="","",'Inspection Log'!AO12)</f>
        <v/>
      </c>
      <c r="N15" s="15" t="str">
        <f aca="false">IF(K15="","",IF(AND(L15="FACTORY",M15="YES"),"PASS","FAIL"))</f>
        <v/>
      </c>
      <c r="O15" s="15" t="str">
        <f aca="false">IF(K15="","",IF(N15="FAIL","C",IF(K15&gt;=$B$2,"A",IF(K15&gt;=$B$3,"B","C"))))</f>
        <v/>
      </c>
      <c r="P15" s="16"/>
      <c r="Q15" s="15" t="str">
        <f aca="false">IF(P15&lt;&gt;"",P15,O15)</f>
        <v/>
      </c>
      <c r="R15" s="17" t="str">
        <f aca="false">IF(OR(K15="",Q15="",Q15="C"),"",K15+(1000-A15)/100000)</f>
        <v/>
      </c>
      <c r="S15" s="15" t="str">
        <f aca="false">IF(R15="","",RANK(R15,$R$6:$R$65))</f>
        <v/>
      </c>
    </row>
    <row r="16" customFormat="false" ht="15" hidden="false" customHeight="false" outlineLevel="0" collapsed="false">
      <c r="A16" s="15" t="n">
        <v>11</v>
      </c>
      <c r="B16" s="9" t="str">
        <f aca="false">IF('Inspection Log'!B13="","",'Inspection Log'!B13)</f>
        <v>Hebei Shengyuan Tongda Modular House Co., Ltd.</v>
      </c>
      <c r="C16" s="16"/>
      <c r="D16" s="16"/>
      <c r="E16" s="16"/>
      <c r="F16" s="16"/>
      <c r="G16" s="16"/>
      <c r="H16" s="16"/>
      <c r="I16" s="16"/>
      <c r="J16" s="16"/>
      <c r="K16" s="15" t="str">
        <f aca="false">IF(COUNT(C16:J16)=0,"",SUM(C16:J16))</f>
        <v/>
      </c>
      <c r="L16" s="15" t="str">
        <f aca="false">IF('Inspection Log'!L13="","",'Inspection Log'!L13)</f>
        <v/>
      </c>
      <c r="M16" s="15" t="str">
        <f aca="false">IF('Inspection Log'!AO13="","",'Inspection Log'!AO13)</f>
        <v/>
      </c>
      <c r="N16" s="15" t="str">
        <f aca="false">IF(K16="","",IF(AND(L16="FACTORY",M16="YES"),"PASS","FAIL"))</f>
        <v/>
      </c>
      <c r="O16" s="15" t="str">
        <f aca="false">IF(K16="","",IF(N16="FAIL","C",IF(K16&gt;=$B$2,"A",IF(K16&gt;=$B$3,"B","C"))))</f>
        <v/>
      </c>
      <c r="P16" s="16"/>
      <c r="Q16" s="15" t="str">
        <f aca="false">IF(P16&lt;&gt;"",P16,O16)</f>
        <v/>
      </c>
      <c r="R16" s="17" t="str">
        <f aca="false">IF(OR(K16="",Q16="",Q16="C"),"",K16+(1000-A16)/100000)</f>
        <v/>
      </c>
      <c r="S16" s="15" t="str">
        <f aca="false">IF(R16="","",RANK(R16,$R$6:$R$65))</f>
        <v/>
      </c>
    </row>
    <row r="17" customFormat="false" ht="15" hidden="false" customHeight="false" outlineLevel="0" collapsed="false">
      <c r="A17" s="15" t="n">
        <v>12</v>
      </c>
      <c r="B17" s="9" t="str">
        <f aca="false">IF('Inspection Log'!B14="","",'Inspection Log'!B14)</f>
        <v>Heshi (Hebei) Integrated Housing Co., Ltd.</v>
      </c>
      <c r="C17" s="16"/>
      <c r="D17" s="16"/>
      <c r="E17" s="16"/>
      <c r="F17" s="16"/>
      <c r="G17" s="16"/>
      <c r="H17" s="16"/>
      <c r="I17" s="16"/>
      <c r="J17" s="16"/>
      <c r="K17" s="15" t="str">
        <f aca="false">IF(COUNT(C17:J17)=0,"",SUM(C17:J17))</f>
        <v/>
      </c>
      <c r="L17" s="15" t="str">
        <f aca="false">IF('Inspection Log'!L14="","",'Inspection Log'!L14)</f>
        <v/>
      </c>
      <c r="M17" s="15" t="str">
        <f aca="false">IF('Inspection Log'!AO14="","",'Inspection Log'!AO14)</f>
        <v/>
      </c>
      <c r="N17" s="15" t="str">
        <f aca="false">IF(K17="","",IF(AND(L17="FACTORY",M17="YES"),"PASS","FAIL"))</f>
        <v/>
      </c>
      <c r="O17" s="15" t="str">
        <f aca="false">IF(K17="","",IF(N17="FAIL","C",IF(K17&gt;=$B$2,"A",IF(K17&gt;=$B$3,"B","C"))))</f>
        <v/>
      </c>
      <c r="P17" s="16"/>
      <c r="Q17" s="15" t="str">
        <f aca="false">IF(P17&lt;&gt;"",P17,O17)</f>
        <v/>
      </c>
      <c r="R17" s="17" t="str">
        <f aca="false">IF(OR(K17="",Q17="",Q17="C"),"",K17+(1000-A17)/100000)</f>
        <v/>
      </c>
      <c r="S17" s="15" t="str">
        <f aca="false">IF(R17="","",RANK(R17,$R$6:$R$65))</f>
        <v/>
      </c>
    </row>
    <row r="18" customFormat="false" ht="15" hidden="false" customHeight="false" outlineLevel="0" collapsed="false">
      <c r="A18" s="15" t="n">
        <v>13</v>
      </c>
      <c r="B18" s="9" t="str">
        <f aca="false">IF('Inspection Log'!B15="","",'Inspection Log'!B15)</f>
        <v>Suzhou Zhongnan Steel Structure Co., Ltd.</v>
      </c>
      <c r="C18" s="16"/>
      <c r="D18" s="16"/>
      <c r="E18" s="16"/>
      <c r="F18" s="16"/>
      <c r="G18" s="16"/>
      <c r="H18" s="16"/>
      <c r="I18" s="16"/>
      <c r="J18" s="16"/>
      <c r="K18" s="15" t="str">
        <f aca="false">IF(COUNT(C18:J18)=0,"",SUM(C18:J18))</f>
        <v/>
      </c>
      <c r="L18" s="15" t="str">
        <f aca="false">IF('Inspection Log'!L15="","",'Inspection Log'!L15)</f>
        <v/>
      </c>
      <c r="M18" s="15" t="str">
        <f aca="false">IF('Inspection Log'!AO15="","",'Inspection Log'!AO15)</f>
        <v/>
      </c>
      <c r="N18" s="15" t="str">
        <f aca="false">IF(K18="","",IF(AND(L18="FACTORY",M18="YES"),"PASS","FAIL"))</f>
        <v/>
      </c>
      <c r="O18" s="15" t="str">
        <f aca="false">IF(K18="","",IF(N18="FAIL","C",IF(K18&gt;=$B$2,"A",IF(K18&gt;=$B$3,"B","C"))))</f>
        <v/>
      </c>
      <c r="P18" s="16"/>
      <c r="Q18" s="15" t="str">
        <f aca="false">IF(P18&lt;&gt;"",P18,O18)</f>
        <v/>
      </c>
      <c r="R18" s="17" t="str">
        <f aca="false">IF(OR(K18="",Q18="",Q18="C"),"",K18+(1000-A18)/100000)</f>
        <v/>
      </c>
      <c r="S18" s="15" t="str">
        <f aca="false">IF(R18="","",RANK(R18,$R$6:$R$65))</f>
        <v/>
      </c>
    </row>
    <row r="19" customFormat="false" ht="15" hidden="false" customHeight="false" outlineLevel="0" collapsed="false">
      <c r="A19" s="15" t="n">
        <v>14</v>
      </c>
      <c r="B19" s="9" t="str">
        <f aca="false">IF('Inspection Log'!B16="","",'Inspection Log'!B16)</f>
        <v>Foshan Hege Steel Modular Housing Co., Ltd.</v>
      </c>
      <c r="C19" s="16"/>
      <c r="D19" s="16"/>
      <c r="E19" s="16"/>
      <c r="F19" s="16"/>
      <c r="G19" s="16"/>
      <c r="H19" s="16"/>
      <c r="I19" s="16"/>
      <c r="J19" s="16"/>
      <c r="K19" s="15" t="str">
        <f aca="false">IF(COUNT(C19:J19)=0,"",SUM(C19:J19))</f>
        <v/>
      </c>
      <c r="L19" s="15" t="str">
        <f aca="false">IF('Inspection Log'!L16="","",'Inspection Log'!L16)</f>
        <v/>
      </c>
      <c r="M19" s="15" t="str">
        <f aca="false">IF('Inspection Log'!AO16="","",'Inspection Log'!AO16)</f>
        <v/>
      </c>
      <c r="N19" s="15" t="str">
        <f aca="false">IF(K19="","",IF(AND(L19="FACTORY",M19="YES"),"PASS","FAIL"))</f>
        <v/>
      </c>
      <c r="O19" s="15" t="str">
        <f aca="false">IF(K19="","",IF(N19="FAIL","C",IF(K19&gt;=$B$2,"A",IF(K19&gt;=$B$3,"B","C"))))</f>
        <v/>
      </c>
      <c r="P19" s="16"/>
      <c r="Q19" s="15" t="str">
        <f aca="false">IF(P19&lt;&gt;"",P19,O19)</f>
        <v/>
      </c>
      <c r="R19" s="17" t="str">
        <f aca="false">IF(OR(K19="",Q19="",Q19="C"),"",K19+(1000-A19)/100000)</f>
        <v/>
      </c>
      <c r="S19" s="15" t="str">
        <f aca="false">IF(R19="","",RANK(R19,$R$6:$R$65))</f>
        <v/>
      </c>
    </row>
    <row r="20" customFormat="false" ht="15" hidden="false" customHeight="false" outlineLevel="0" collapsed="false">
      <c r="A20" s="15" t="n">
        <v>15</v>
      </c>
      <c r="B20" s="9" t="str">
        <f aca="false">IF('Inspection Log'!B17="","",'Inspection Log'!B17)</f>
        <v>Weifang Henglida Steel Structure Co., Ltd.</v>
      </c>
      <c r="C20" s="16"/>
      <c r="D20" s="16"/>
      <c r="E20" s="16"/>
      <c r="F20" s="16"/>
      <c r="G20" s="16"/>
      <c r="H20" s="16"/>
      <c r="I20" s="16"/>
      <c r="J20" s="16"/>
      <c r="K20" s="15" t="str">
        <f aca="false">IF(COUNT(C20:J20)=0,"",SUM(C20:J20))</f>
        <v/>
      </c>
      <c r="L20" s="15" t="str">
        <f aca="false">IF('Inspection Log'!L17="","",'Inspection Log'!L17)</f>
        <v/>
      </c>
      <c r="M20" s="15" t="str">
        <f aca="false">IF('Inspection Log'!AO17="","",'Inspection Log'!AO17)</f>
        <v/>
      </c>
      <c r="N20" s="15" t="str">
        <f aca="false">IF(K20="","",IF(AND(L20="FACTORY",M20="YES"),"PASS","FAIL"))</f>
        <v/>
      </c>
      <c r="O20" s="15" t="str">
        <f aca="false">IF(K20="","",IF(N20="FAIL","C",IF(K20&gt;=$B$2,"A",IF(K20&gt;=$B$3,"B","C"))))</f>
        <v/>
      </c>
      <c r="P20" s="16"/>
      <c r="Q20" s="15" t="str">
        <f aca="false">IF(P20&lt;&gt;"",P20,O20)</f>
        <v/>
      </c>
      <c r="R20" s="17" t="str">
        <f aca="false">IF(OR(K20="",Q20="",Q20="C"),"",K20+(1000-A20)/100000)</f>
        <v/>
      </c>
      <c r="S20" s="15" t="str">
        <f aca="false">IF(R20="","",RANK(R20,$R$6:$R$65))</f>
        <v/>
      </c>
    </row>
    <row r="21" customFormat="false" ht="15" hidden="false" customHeight="false" outlineLevel="0" collapsed="false">
      <c r="A21" s="15" t="n">
        <v>16</v>
      </c>
      <c r="B21" s="9" t="str">
        <f aca="false">IF('Inspection Log'!B18="","",'Inspection Log'!B18)</f>
        <v>Dongguan Toppre Modular House Co., Ltd.</v>
      </c>
      <c r="C21" s="16"/>
      <c r="D21" s="16"/>
      <c r="E21" s="16"/>
      <c r="F21" s="16"/>
      <c r="G21" s="16"/>
      <c r="H21" s="16"/>
      <c r="I21" s="16"/>
      <c r="J21" s="16"/>
      <c r="K21" s="15" t="str">
        <f aca="false">IF(COUNT(C21:J21)=0,"",SUM(C21:J21))</f>
        <v/>
      </c>
      <c r="L21" s="15" t="str">
        <f aca="false">IF('Inspection Log'!L18="","",'Inspection Log'!L18)</f>
        <v/>
      </c>
      <c r="M21" s="15" t="str">
        <f aca="false">IF('Inspection Log'!AO18="","",'Inspection Log'!AO18)</f>
        <v/>
      </c>
      <c r="N21" s="15" t="str">
        <f aca="false">IF(K21="","",IF(AND(L21="FACTORY",M21="YES"),"PASS","FAIL"))</f>
        <v/>
      </c>
      <c r="O21" s="15" t="str">
        <f aca="false">IF(K21="","",IF(N21="FAIL","C",IF(K21&gt;=$B$2,"A",IF(K21&gt;=$B$3,"B","C"))))</f>
        <v/>
      </c>
      <c r="P21" s="16"/>
      <c r="Q21" s="15" t="str">
        <f aca="false">IF(P21&lt;&gt;"",P21,O21)</f>
        <v/>
      </c>
      <c r="R21" s="17" t="str">
        <f aca="false">IF(OR(K21="",Q21="",Q21="C"),"",K21+(1000-A21)/100000)</f>
        <v/>
      </c>
      <c r="S21" s="15" t="str">
        <f aca="false">IF(R21="","",RANK(R21,$R$6:$R$65))</f>
        <v/>
      </c>
    </row>
    <row r="22" customFormat="false" ht="15" hidden="false" customHeight="false" outlineLevel="0" collapsed="false">
      <c r="A22" s="15" t="n">
        <v>17</v>
      </c>
      <c r="B22" s="9" t="str">
        <f aca="false">IF('Inspection Log'!B19="","",'Inspection Log'!B19)</f>
        <v>Tianjin Yuantai Module House Co., Ltd.</v>
      </c>
      <c r="C22" s="16"/>
      <c r="D22" s="16"/>
      <c r="E22" s="16"/>
      <c r="F22" s="16"/>
      <c r="G22" s="16"/>
      <c r="H22" s="16"/>
      <c r="I22" s="16"/>
      <c r="J22" s="16"/>
      <c r="K22" s="15" t="str">
        <f aca="false">IF(COUNT(C22:J22)=0,"",SUM(C22:J22))</f>
        <v/>
      </c>
      <c r="L22" s="15" t="str">
        <f aca="false">IF('Inspection Log'!L19="","",'Inspection Log'!L19)</f>
        <v/>
      </c>
      <c r="M22" s="15" t="str">
        <f aca="false">IF('Inspection Log'!AO19="","",'Inspection Log'!AO19)</f>
        <v/>
      </c>
      <c r="N22" s="15" t="str">
        <f aca="false">IF(K22="","",IF(AND(L22="FACTORY",M22="YES"),"PASS","FAIL"))</f>
        <v/>
      </c>
      <c r="O22" s="15" t="str">
        <f aca="false">IF(K22="","",IF(N22="FAIL","C",IF(K22&gt;=$B$2,"A",IF(K22&gt;=$B$3,"B","C"))))</f>
        <v/>
      </c>
      <c r="P22" s="16"/>
      <c r="Q22" s="15" t="str">
        <f aca="false">IF(P22&lt;&gt;"",P22,O22)</f>
        <v/>
      </c>
      <c r="R22" s="17" t="str">
        <f aca="false">IF(OR(K22="",Q22="",Q22="C"),"",K22+(1000-A22)/100000)</f>
        <v/>
      </c>
      <c r="S22" s="15" t="str">
        <f aca="false">IF(R22="","",RANK(R22,$R$6:$R$65))</f>
        <v/>
      </c>
    </row>
    <row r="23" customFormat="false" ht="15" hidden="false" customHeight="false" outlineLevel="0" collapsed="false">
      <c r="A23" s="15" t="n">
        <v>18</v>
      </c>
      <c r="B23" s="9" t="str">
        <f aca="false">IF('Inspection Log'!B20="","",'Inspection Log'!B20)</f>
        <v>Weifang Ante Steel Structure Engineering Co., Ltd.</v>
      </c>
      <c r="C23" s="16"/>
      <c r="D23" s="16"/>
      <c r="E23" s="16"/>
      <c r="F23" s="16"/>
      <c r="G23" s="16"/>
      <c r="H23" s="16"/>
      <c r="I23" s="16"/>
      <c r="J23" s="16"/>
      <c r="K23" s="15" t="str">
        <f aca="false">IF(COUNT(C23:J23)=0,"",SUM(C23:J23))</f>
        <v/>
      </c>
      <c r="L23" s="15" t="str">
        <f aca="false">IF('Inspection Log'!L20="","",'Inspection Log'!L20)</f>
        <v/>
      </c>
      <c r="M23" s="15" t="str">
        <f aca="false">IF('Inspection Log'!AO20="","",'Inspection Log'!AO20)</f>
        <v/>
      </c>
      <c r="N23" s="15" t="str">
        <f aca="false">IF(K23="","",IF(AND(L23="FACTORY",M23="YES"),"PASS","FAIL"))</f>
        <v/>
      </c>
      <c r="O23" s="15" t="str">
        <f aca="false">IF(K23="","",IF(N23="FAIL","C",IF(K23&gt;=$B$2,"A",IF(K23&gt;=$B$3,"B","C"))))</f>
        <v/>
      </c>
      <c r="P23" s="16"/>
      <c r="Q23" s="15" t="str">
        <f aca="false">IF(P23&lt;&gt;"",P23,O23)</f>
        <v/>
      </c>
      <c r="R23" s="17" t="str">
        <f aca="false">IF(OR(K23="",Q23="",Q23="C"),"",K23+(1000-A23)/100000)</f>
        <v/>
      </c>
      <c r="S23" s="15" t="str">
        <f aca="false">IF(R23="","",RANK(R23,$R$6:$R$65))</f>
        <v/>
      </c>
    </row>
    <row r="24" customFormat="false" ht="15" hidden="false" customHeight="false" outlineLevel="0" collapsed="false">
      <c r="A24" s="15" t="n">
        <v>19</v>
      </c>
      <c r="B24" s="9" t="str">
        <f aca="false">IF('Inspection Log'!B21="","",'Inspection Log'!B21)</f>
        <v>Hebei Baida Mingsheng Integrated Housing Co., Ltd.</v>
      </c>
      <c r="C24" s="16"/>
      <c r="D24" s="16"/>
      <c r="E24" s="16"/>
      <c r="F24" s="16"/>
      <c r="G24" s="16"/>
      <c r="H24" s="16"/>
      <c r="I24" s="16"/>
      <c r="J24" s="16"/>
      <c r="K24" s="15" t="str">
        <f aca="false">IF(COUNT(C24:J24)=0,"",SUM(C24:J24))</f>
        <v/>
      </c>
      <c r="L24" s="15" t="str">
        <f aca="false">IF('Inspection Log'!L21="","",'Inspection Log'!L21)</f>
        <v/>
      </c>
      <c r="M24" s="15" t="str">
        <f aca="false">IF('Inspection Log'!AO21="","",'Inspection Log'!AO21)</f>
        <v/>
      </c>
      <c r="N24" s="15" t="str">
        <f aca="false">IF(K24="","",IF(AND(L24="FACTORY",M24="YES"),"PASS","FAIL"))</f>
        <v/>
      </c>
      <c r="O24" s="15" t="str">
        <f aca="false">IF(K24="","",IF(N24="FAIL","C",IF(K24&gt;=$B$2,"A",IF(K24&gt;=$B$3,"B","C"))))</f>
        <v/>
      </c>
      <c r="P24" s="16"/>
      <c r="Q24" s="15" t="str">
        <f aca="false">IF(P24&lt;&gt;"",P24,O24)</f>
        <v/>
      </c>
      <c r="R24" s="17" t="str">
        <f aca="false">IF(OR(K24="",Q24="",Q24="C"),"",K24+(1000-A24)/100000)</f>
        <v/>
      </c>
      <c r="S24" s="15" t="str">
        <f aca="false">IF(R24="","",RANK(R24,$R$6:$R$65))</f>
        <v/>
      </c>
    </row>
    <row r="25" customFormat="false" ht="15" hidden="false" customHeight="false" outlineLevel="0" collapsed="false">
      <c r="A25" s="15" t="n">
        <v>20</v>
      </c>
      <c r="B25" s="9" t="str">
        <f aca="false">IF('Inspection Log'!B22="","",'Inspection Log'!B22)</f>
        <v>Laizhou Dingrong Steel Structure Co., Ltd.</v>
      </c>
      <c r="C25" s="16"/>
      <c r="D25" s="16"/>
      <c r="E25" s="16"/>
      <c r="F25" s="16"/>
      <c r="G25" s="16"/>
      <c r="H25" s="16"/>
      <c r="I25" s="16"/>
      <c r="J25" s="16"/>
      <c r="K25" s="15" t="str">
        <f aca="false">IF(COUNT(C25:J25)=0,"",SUM(C25:J25))</f>
        <v/>
      </c>
      <c r="L25" s="15" t="str">
        <f aca="false">IF('Inspection Log'!L22="","",'Inspection Log'!L22)</f>
        <v/>
      </c>
      <c r="M25" s="15" t="str">
        <f aca="false">IF('Inspection Log'!AO22="","",'Inspection Log'!AO22)</f>
        <v/>
      </c>
      <c r="N25" s="15" t="str">
        <f aca="false">IF(K25="","",IF(AND(L25="FACTORY",M25="YES"),"PASS","FAIL"))</f>
        <v/>
      </c>
      <c r="O25" s="15" t="str">
        <f aca="false">IF(K25="","",IF(N25="FAIL","C",IF(K25&gt;=$B$2,"A",IF(K25&gt;=$B$3,"B","C"))))</f>
        <v/>
      </c>
      <c r="P25" s="16"/>
      <c r="Q25" s="15" t="str">
        <f aca="false">IF(P25&lt;&gt;"",P25,O25)</f>
        <v/>
      </c>
      <c r="R25" s="17" t="str">
        <f aca="false">IF(OR(K25="",Q25="",Q25="C"),"",K25+(1000-A25)/100000)</f>
        <v/>
      </c>
      <c r="S25" s="15" t="str">
        <f aca="false">IF(R25="","",RANK(R25,$R$6:$R$65))</f>
        <v/>
      </c>
    </row>
    <row r="26" customFormat="false" ht="23.85" hidden="false" customHeight="false" outlineLevel="0" collapsed="false">
      <c r="A26" s="15" t="n">
        <v>21</v>
      </c>
      <c r="B26" s="9" t="str">
        <f aca="false">IF('Inspection Log'!B23="","",'Inspection Log'!B23)</f>
        <v>Hebei Zhongxinhe Assembled Housing Manufacturing Co., Ltd.</v>
      </c>
      <c r="C26" s="16"/>
      <c r="D26" s="16"/>
      <c r="E26" s="16"/>
      <c r="F26" s="16"/>
      <c r="G26" s="16"/>
      <c r="H26" s="16"/>
      <c r="I26" s="16"/>
      <c r="J26" s="16"/>
      <c r="K26" s="15" t="str">
        <f aca="false">IF(COUNT(C26:J26)=0,"",SUM(C26:J26))</f>
        <v/>
      </c>
      <c r="L26" s="15" t="str">
        <f aca="false">IF('Inspection Log'!L23="","",'Inspection Log'!L23)</f>
        <v/>
      </c>
      <c r="M26" s="15" t="str">
        <f aca="false">IF('Inspection Log'!AO23="","",'Inspection Log'!AO23)</f>
        <v/>
      </c>
      <c r="N26" s="15" t="str">
        <f aca="false">IF(K26="","",IF(AND(L26="FACTORY",M26="YES"),"PASS","FAIL"))</f>
        <v/>
      </c>
      <c r="O26" s="15" t="str">
        <f aca="false">IF(K26="","",IF(N26="FAIL","C",IF(K26&gt;=$B$2,"A",IF(K26&gt;=$B$3,"B","C"))))</f>
        <v/>
      </c>
      <c r="P26" s="16"/>
      <c r="Q26" s="15" t="str">
        <f aca="false">IF(P26&lt;&gt;"",P26,O26)</f>
        <v/>
      </c>
      <c r="R26" s="17" t="str">
        <f aca="false">IF(OR(K26="",Q26="",Q26="C"),"",K26+(1000-A26)/100000)</f>
        <v/>
      </c>
      <c r="S26" s="15" t="str">
        <f aca="false">IF(R26="","",RANK(R26,$R$6:$R$65))</f>
        <v/>
      </c>
    </row>
    <row r="27" customFormat="false" ht="15" hidden="false" customHeight="false" outlineLevel="0" collapsed="false">
      <c r="A27" s="15" t="n">
        <v>22</v>
      </c>
      <c r="B27" s="9" t="str">
        <f aca="false">IF('Inspection Log'!B24="","",'Inspection Log'!B24)</f>
        <v>Guangdong Cbox Co., Limited</v>
      </c>
      <c r="C27" s="16"/>
      <c r="D27" s="16"/>
      <c r="E27" s="16"/>
      <c r="F27" s="16"/>
      <c r="G27" s="16"/>
      <c r="H27" s="16"/>
      <c r="I27" s="16"/>
      <c r="J27" s="16"/>
      <c r="K27" s="15" t="str">
        <f aca="false">IF(COUNT(C27:J27)=0,"",SUM(C27:J27))</f>
        <v/>
      </c>
      <c r="L27" s="15" t="str">
        <f aca="false">IF('Inspection Log'!L24="","",'Inspection Log'!L24)</f>
        <v/>
      </c>
      <c r="M27" s="15" t="str">
        <f aca="false">IF('Inspection Log'!AO24="","",'Inspection Log'!AO24)</f>
        <v/>
      </c>
      <c r="N27" s="15" t="str">
        <f aca="false">IF(K27="","",IF(AND(L27="FACTORY",M27="YES"),"PASS","FAIL"))</f>
        <v/>
      </c>
      <c r="O27" s="15" t="str">
        <f aca="false">IF(K27="","",IF(N27="FAIL","C",IF(K27&gt;=$B$2,"A",IF(K27&gt;=$B$3,"B","C"))))</f>
        <v/>
      </c>
      <c r="P27" s="16"/>
      <c r="Q27" s="15" t="str">
        <f aca="false">IF(P27&lt;&gt;"",P27,O27)</f>
        <v/>
      </c>
      <c r="R27" s="17" t="str">
        <f aca="false">IF(OR(K27="",Q27="",Q27="C"),"",K27+(1000-A27)/100000)</f>
        <v/>
      </c>
      <c r="S27" s="15" t="str">
        <f aca="false">IF(R27="","",RANK(R27,$R$6:$R$65))</f>
        <v/>
      </c>
    </row>
    <row r="28" customFormat="false" ht="15" hidden="false" customHeight="false" outlineLevel="0" collapsed="false">
      <c r="A28" s="15" t="n">
        <v>23</v>
      </c>
      <c r="B28" s="9" t="str">
        <f aca="false">IF('Inspection Log'!B25="","",'Inspection Log'!B25)</f>
        <v>Dalian Xiesheng Construction Industry Co., Ltd.</v>
      </c>
      <c r="C28" s="16"/>
      <c r="D28" s="16"/>
      <c r="E28" s="16"/>
      <c r="F28" s="16"/>
      <c r="G28" s="16"/>
      <c r="H28" s="16"/>
      <c r="I28" s="16"/>
      <c r="J28" s="16"/>
      <c r="K28" s="15" t="str">
        <f aca="false">IF(COUNT(C28:J28)=0,"",SUM(C28:J28))</f>
        <v/>
      </c>
      <c r="L28" s="15" t="str">
        <f aca="false">IF('Inspection Log'!L25="","",'Inspection Log'!L25)</f>
        <v/>
      </c>
      <c r="M28" s="15" t="str">
        <f aca="false">IF('Inspection Log'!AO25="","",'Inspection Log'!AO25)</f>
        <v/>
      </c>
      <c r="N28" s="15" t="str">
        <f aca="false">IF(K28="","",IF(AND(L28="FACTORY",M28="YES"),"PASS","FAIL"))</f>
        <v/>
      </c>
      <c r="O28" s="15" t="str">
        <f aca="false">IF(K28="","",IF(N28="FAIL","C",IF(K28&gt;=$B$2,"A",IF(K28&gt;=$B$3,"B","C"))))</f>
        <v/>
      </c>
      <c r="P28" s="16"/>
      <c r="Q28" s="15" t="str">
        <f aca="false">IF(P28&lt;&gt;"",P28,O28)</f>
        <v/>
      </c>
      <c r="R28" s="17" t="str">
        <f aca="false">IF(OR(K28="",Q28="",Q28="C"),"",K28+(1000-A28)/100000)</f>
        <v/>
      </c>
      <c r="S28" s="15" t="str">
        <f aca="false">IF(R28="","",RANK(R28,$R$6:$R$65))</f>
        <v/>
      </c>
    </row>
    <row r="29" customFormat="false" ht="15" hidden="false" customHeight="false" outlineLevel="0" collapsed="false">
      <c r="A29" s="15" t="n">
        <v>24</v>
      </c>
      <c r="B29" s="9" t="str">
        <f aca="false">IF('Inspection Log'!B26="","",'Inspection Log'!B26)</f>
        <v>Linyi Jianjie Exhibition Tent House Co., Ltd.</v>
      </c>
      <c r="C29" s="16"/>
      <c r="D29" s="16"/>
      <c r="E29" s="16"/>
      <c r="F29" s="16"/>
      <c r="G29" s="16"/>
      <c r="H29" s="16"/>
      <c r="I29" s="16"/>
      <c r="J29" s="16"/>
      <c r="K29" s="15" t="str">
        <f aca="false">IF(COUNT(C29:J29)=0,"",SUM(C29:J29))</f>
        <v/>
      </c>
      <c r="L29" s="15" t="str">
        <f aca="false">IF('Inspection Log'!L26="","",'Inspection Log'!L26)</f>
        <v/>
      </c>
      <c r="M29" s="15" t="str">
        <f aca="false">IF('Inspection Log'!AO26="","",'Inspection Log'!AO26)</f>
        <v/>
      </c>
      <c r="N29" s="15" t="str">
        <f aca="false">IF(K29="","",IF(AND(L29="FACTORY",M29="YES"),"PASS","FAIL"))</f>
        <v/>
      </c>
      <c r="O29" s="15" t="str">
        <f aca="false">IF(K29="","",IF(N29="FAIL","C",IF(K29&gt;=$B$2,"A",IF(K29&gt;=$B$3,"B","C"))))</f>
        <v/>
      </c>
      <c r="P29" s="16"/>
      <c r="Q29" s="15" t="str">
        <f aca="false">IF(P29&lt;&gt;"",P29,O29)</f>
        <v/>
      </c>
      <c r="R29" s="17" t="str">
        <f aca="false">IF(OR(K29="",Q29="",Q29="C"),"",K29+(1000-A29)/100000)</f>
        <v/>
      </c>
      <c r="S29" s="15" t="str">
        <f aca="false">IF(R29="","",RANK(R29,$R$6:$R$65))</f>
        <v/>
      </c>
    </row>
    <row r="30" customFormat="false" ht="23.85" hidden="false" customHeight="false" outlineLevel="0" collapsed="false">
      <c r="A30" s="15" t="n">
        <v>25</v>
      </c>
      <c r="B30" s="9" t="str">
        <f aca="false">IF('Inspection Log'!B27="","",'Inspection Log'!B27)</f>
        <v>Foshan Yinneng Green Construction Technology Co., Ltd.</v>
      </c>
      <c r="C30" s="16"/>
      <c r="D30" s="16"/>
      <c r="E30" s="16"/>
      <c r="F30" s="16"/>
      <c r="G30" s="16"/>
      <c r="H30" s="16"/>
      <c r="I30" s="16"/>
      <c r="J30" s="16"/>
      <c r="K30" s="15" t="str">
        <f aca="false">IF(COUNT(C30:J30)=0,"",SUM(C30:J30))</f>
        <v/>
      </c>
      <c r="L30" s="15" t="str">
        <f aca="false">IF('Inspection Log'!L27="","",'Inspection Log'!L27)</f>
        <v/>
      </c>
      <c r="M30" s="15" t="str">
        <f aca="false">IF('Inspection Log'!AO27="","",'Inspection Log'!AO27)</f>
        <v/>
      </c>
      <c r="N30" s="15" t="str">
        <f aca="false">IF(K30="","",IF(AND(L30="FACTORY",M30="YES"),"PASS","FAIL"))</f>
        <v/>
      </c>
      <c r="O30" s="15" t="str">
        <f aca="false">IF(K30="","",IF(N30="FAIL","C",IF(K30&gt;=$B$2,"A",IF(K30&gt;=$B$3,"B","C"))))</f>
        <v/>
      </c>
      <c r="P30" s="16"/>
      <c r="Q30" s="15" t="str">
        <f aca="false">IF(P30&lt;&gt;"",P30,O30)</f>
        <v/>
      </c>
      <c r="R30" s="17" t="str">
        <f aca="false">IF(OR(K30="",Q30="",Q30="C"),"",K30+(1000-A30)/100000)</f>
        <v/>
      </c>
      <c r="S30" s="15" t="str">
        <f aca="false">IF(R30="","",RANK(R30,$R$6:$R$65))</f>
        <v/>
      </c>
    </row>
    <row r="31" customFormat="false" ht="15" hidden="false" customHeight="false" outlineLevel="0" collapsed="false">
      <c r="A31" s="15" t="n">
        <v>26</v>
      </c>
      <c r="B31" s="9" t="str">
        <f aca="false">IF('Inspection Log'!B28="","",'Inspection Log'!B28)</f>
        <v>Suzhou Daxiang Container House Co., Ltd.</v>
      </c>
      <c r="C31" s="16"/>
      <c r="D31" s="16"/>
      <c r="E31" s="16"/>
      <c r="F31" s="16"/>
      <c r="G31" s="16"/>
      <c r="H31" s="16"/>
      <c r="I31" s="16"/>
      <c r="J31" s="16"/>
      <c r="K31" s="15" t="str">
        <f aca="false">IF(COUNT(C31:J31)=0,"",SUM(C31:J31))</f>
        <v/>
      </c>
      <c r="L31" s="15" t="str">
        <f aca="false">IF('Inspection Log'!L28="","",'Inspection Log'!L28)</f>
        <v/>
      </c>
      <c r="M31" s="15" t="str">
        <f aca="false">IF('Inspection Log'!AO28="","",'Inspection Log'!AO28)</f>
        <v/>
      </c>
      <c r="N31" s="15" t="str">
        <f aca="false">IF(K31="","",IF(AND(L31="FACTORY",M31="YES"),"PASS","FAIL"))</f>
        <v/>
      </c>
      <c r="O31" s="15" t="str">
        <f aca="false">IF(K31="","",IF(N31="FAIL","C",IF(K31&gt;=$B$2,"A",IF(K31&gt;=$B$3,"B","C"))))</f>
        <v/>
      </c>
      <c r="P31" s="16"/>
      <c r="Q31" s="15" t="str">
        <f aca="false">IF(P31&lt;&gt;"",P31,O31)</f>
        <v/>
      </c>
      <c r="R31" s="17" t="str">
        <f aca="false">IF(OR(K31="",Q31="",Q31="C"),"",K31+(1000-A31)/100000)</f>
        <v/>
      </c>
      <c r="S31" s="15" t="str">
        <f aca="false">IF(R31="","",RANK(R31,$R$6:$R$65))</f>
        <v/>
      </c>
    </row>
    <row r="32" customFormat="false" ht="15" hidden="false" customHeight="false" outlineLevel="0" collapsed="false">
      <c r="A32" s="15" t="n">
        <v>27</v>
      </c>
      <c r="B32" s="9" t="str">
        <f aca="false">IF('Inspection Log'!B29="","",'Inspection Log'!B29)</f>
        <v>Orient GS International Engineering Co., Ltd.</v>
      </c>
      <c r="C32" s="16"/>
      <c r="D32" s="16"/>
      <c r="E32" s="16"/>
      <c r="F32" s="16"/>
      <c r="G32" s="16"/>
      <c r="H32" s="16"/>
      <c r="I32" s="16"/>
      <c r="J32" s="16"/>
      <c r="K32" s="15" t="str">
        <f aca="false">IF(COUNT(C32:J32)=0,"",SUM(C32:J32))</f>
        <v/>
      </c>
      <c r="L32" s="15" t="str">
        <f aca="false">IF('Inspection Log'!L29="","",'Inspection Log'!L29)</f>
        <v/>
      </c>
      <c r="M32" s="15" t="str">
        <f aca="false">IF('Inspection Log'!AO29="","",'Inspection Log'!AO29)</f>
        <v/>
      </c>
      <c r="N32" s="15" t="str">
        <f aca="false">IF(K32="","",IF(AND(L32="FACTORY",M32="YES"),"PASS","FAIL"))</f>
        <v/>
      </c>
      <c r="O32" s="15" t="str">
        <f aca="false">IF(K32="","",IF(N32="FAIL","C",IF(K32&gt;=$B$2,"A",IF(K32&gt;=$B$3,"B","C"))))</f>
        <v/>
      </c>
      <c r="P32" s="16"/>
      <c r="Q32" s="15" t="str">
        <f aca="false">IF(P32&lt;&gt;"",P32,O32)</f>
        <v/>
      </c>
      <c r="R32" s="17" t="str">
        <f aca="false">IF(OR(K32="",Q32="",Q32="C"),"",K32+(1000-A32)/100000)</f>
        <v/>
      </c>
      <c r="S32" s="15" t="str">
        <f aca="false">IF(R32="","",RANK(R32,$R$6:$R$65))</f>
        <v/>
      </c>
    </row>
    <row r="33" customFormat="false" ht="15" hidden="false" customHeight="false" outlineLevel="0" collapsed="false">
      <c r="A33" s="15" t="n">
        <v>28</v>
      </c>
      <c r="B33" s="9" t="str">
        <f aca="false">IF('Inspection Log'!B30="","",'Inspection Log'!B30)</f>
        <v/>
      </c>
      <c r="C33" s="16"/>
      <c r="D33" s="16"/>
      <c r="E33" s="16"/>
      <c r="F33" s="16"/>
      <c r="G33" s="16"/>
      <c r="H33" s="16"/>
      <c r="I33" s="16"/>
      <c r="J33" s="16"/>
      <c r="K33" s="15" t="str">
        <f aca="false">IF(COUNT(C33:J33)=0,"",SUM(C33:J33))</f>
        <v/>
      </c>
      <c r="L33" s="15" t="str">
        <f aca="false">IF('Inspection Log'!L30="","",'Inspection Log'!L30)</f>
        <v/>
      </c>
      <c r="M33" s="15" t="str">
        <f aca="false">IF('Inspection Log'!AO30="","",'Inspection Log'!AO30)</f>
        <v/>
      </c>
      <c r="N33" s="15" t="str">
        <f aca="false">IF(K33="","",IF(AND(L33="FACTORY",M33="YES"),"PASS","FAIL"))</f>
        <v/>
      </c>
      <c r="O33" s="15" t="str">
        <f aca="false">IF(K33="","",IF(N33="FAIL","C",IF(K33&gt;=$B$2,"A",IF(K33&gt;=$B$3,"B","C"))))</f>
        <v/>
      </c>
      <c r="P33" s="16"/>
      <c r="Q33" s="15" t="str">
        <f aca="false">IF(P33&lt;&gt;"",P33,O33)</f>
        <v/>
      </c>
      <c r="R33" s="17" t="str">
        <f aca="false">IF(OR(K33="",Q33="",Q33="C"),"",K33+(1000-A33)/100000)</f>
        <v/>
      </c>
      <c r="S33" s="15" t="str">
        <f aca="false">IF(R33="","",RANK(R33,$R$6:$R$65))</f>
        <v/>
      </c>
    </row>
    <row r="34" customFormat="false" ht="15" hidden="false" customHeight="false" outlineLevel="0" collapsed="false">
      <c r="A34" s="15" t="n">
        <v>29</v>
      </c>
      <c r="B34" s="9" t="str">
        <f aca="false">IF('Inspection Log'!B31="","",'Inspection Log'!B31)</f>
        <v/>
      </c>
      <c r="C34" s="16"/>
      <c r="D34" s="16"/>
      <c r="E34" s="16"/>
      <c r="F34" s="16"/>
      <c r="G34" s="16"/>
      <c r="H34" s="16"/>
      <c r="I34" s="16"/>
      <c r="J34" s="16"/>
      <c r="K34" s="15" t="str">
        <f aca="false">IF(COUNT(C34:J34)=0,"",SUM(C34:J34))</f>
        <v/>
      </c>
      <c r="L34" s="15" t="str">
        <f aca="false">IF('Inspection Log'!L31="","",'Inspection Log'!L31)</f>
        <v/>
      </c>
      <c r="M34" s="15" t="str">
        <f aca="false">IF('Inspection Log'!AO31="","",'Inspection Log'!AO31)</f>
        <v/>
      </c>
      <c r="N34" s="15" t="str">
        <f aca="false">IF(K34="","",IF(AND(L34="FACTORY",M34="YES"),"PASS","FAIL"))</f>
        <v/>
      </c>
      <c r="O34" s="15" t="str">
        <f aca="false">IF(K34="","",IF(N34="FAIL","C",IF(K34&gt;=$B$2,"A",IF(K34&gt;=$B$3,"B","C"))))</f>
        <v/>
      </c>
      <c r="P34" s="16"/>
      <c r="Q34" s="15" t="str">
        <f aca="false">IF(P34&lt;&gt;"",P34,O34)</f>
        <v/>
      </c>
      <c r="R34" s="17" t="str">
        <f aca="false">IF(OR(K34="",Q34="",Q34="C"),"",K34+(1000-A34)/100000)</f>
        <v/>
      </c>
      <c r="S34" s="15" t="str">
        <f aca="false">IF(R34="","",RANK(R34,$R$6:$R$65))</f>
        <v/>
      </c>
    </row>
    <row r="35" customFormat="false" ht="15" hidden="false" customHeight="false" outlineLevel="0" collapsed="false">
      <c r="A35" s="15" t="n">
        <v>30</v>
      </c>
      <c r="B35" s="9" t="str">
        <f aca="false">IF('Inspection Log'!B32="","",'Inspection Log'!B32)</f>
        <v/>
      </c>
      <c r="C35" s="16"/>
      <c r="D35" s="16"/>
      <c r="E35" s="16"/>
      <c r="F35" s="16"/>
      <c r="G35" s="16"/>
      <c r="H35" s="16"/>
      <c r="I35" s="16"/>
      <c r="J35" s="16"/>
      <c r="K35" s="15" t="str">
        <f aca="false">IF(COUNT(C35:J35)=0,"",SUM(C35:J35))</f>
        <v/>
      </c>
      <c r="L35" s="15" t="str">
        <f aca="false">IF('Inspection Log'!L32="","",'Inspection Log'!L32)</f>
        <v/>
      </c>
      <c r="M35" s="15" t="str">
        <f aca="false">IF('Inspection Log'!AO32="","",'Inspection Log'!AO32)</f>
        <v/>
      </c>
      <c r="N35" s="15" t="str">
        <f aca="false">IF(K35="","",IF(AND(L35="FACTORY",M35="YES"),"PASS","FAIL"))</f>
        <v/>
      </c>
      <c r="O35" s="15" t="str">
        <f aca="false">IF(K35="","",IF(N35="FAIL","C",IF(K35&gt;=$B$2,"A",IF(K35&gt;=$B$3,"B","C"))))</f>
        <v/>
      </c>
      <c r="P35" s="16"/>
      <c r="Q35" s="15" t="str">
        <f aca="false">IF(P35&lt;&gt;"",P35,O35)</f>
        <v/>
      </c>
      <c r="R35" s="17" t="str">
        <f aca="false">IF(OR(K35="",Q35="",Q35="C"),"",K35+(1000-A35)/100000)</f>
        <v/>
      </c>
      <c r="S35" s="15" t="str">
        <f aca="false">IF(R35="","",RANK(R35,$R$6:$R$65))</f>
        <v/>
      </c>
    </row>
    <row r="36" customFormat="false" ht="15" hidden="false" customHeight="false" outlineLevel="0" collapsed="false">
      <c r="A36" s="15" t="n">
        <v>31</v>
      </c>
      <c r="B36" s="9" t="str">
        <f aca="false">IF('Inspection Log'!B33="","",'Inspection Log'!B33)</f>
        <v/>
      </c>
      <c r="C36" s="16"/>
      <c r="D36" s="16"/>
      <c r="E36" s="16"/>
      <c r="F36" s="16"/>
      <c r="G36" s="16"/>
      <c r="H36" s="16"/>
      <c r="I36" s="16"/>
      <c r="J36" s="16"/>
      <c r="K36" s="15" t="str">
        <f aca="false">IF(COUNT(C36:J36)=0,"",SUM(C36:J36))</f>
        <v/>
      </c>
      <c r="L36" s="15" t="str">
        <f aca="false">IF('Inspection Log'!L33="","",'Inspection Log'!L33)</f>
        <v/>
      </c>
      <c r="M36" s="15" t="str">
        <f aca="false">IF('Inspection Log'!AO33="","",'Inspection Log'!AO33)</f>
        <v/>
      </c>
      <c r="N36" s="15" t="str">
        <f aca="false">IF(K36="","",IF(AND(L36="FACTORY",M36="YES"),"PASS","FAIL"))</f>
        <v/>
      </c>
      <c r="O36" s="15" t="str">
        <f aca="false">IF(K36="","",IF(N36="FAIL","C",IF(K36&gt;=$B$2,"A",IF(K36&gt;=$B$3,"B","C"))))</f>
        <v/>
      </c>
      <c r="P36" s="16"/>
      <c r="Q36" s="15" t="str">
        <f aca="false">IF(P36&lt;&gt;"",P36,O36)</f>
        <v/>
      </c>
      <c r="R36" s="17" t="str">
        <f aca="false">IF(OR(K36="",Q36="",Q36="C"),"",K36+(1000-A36)/100000)</f>
        <v/>
      </c>
      <c r="S36" s="15" t="str">
        <f aca="false">IF(R36="","",RANK(R36,$R$6:$R$65))</f>
        <v/>
      </c>
    </row>
    <row r="37" customFormat="false" ht="15" hidden="false" customHeight="false" outlineLevel="0" collapsed="false">
      <c r="A37" s="15" t="n">
        <v>32</v>
      </c>
      <c r="B37" s="9" t="str">
        <f aca="false">IF('Inspection Log'!B34="","",'Inspection Log'!B34)</f>
        <v/>
      </c>
      <c r="C37" s="16"/>
      <c r="D37" s="16"/>
      <c r="E37" s="16"/>
      <c r="F37" s="16"/>
      <c r="G37" s="16"/>
      <c r="H37" s="16"/>
      <c r="I37" s="16"/>
      <c r="J37" s="16"/>
      <c r="K37" s="15" t="str">
        <f aca="false">IF(COUNT(C37:J37)=0,"",SUM(C37:J37))</f>
        <v/>
      </c>
      <c r="L37" s="15" t="str">
        <f aca="false">IF('Inspection Log'!L34="","",'Inspection Log'!L34)</f>
        <v/>
      </c>
      <c r="M37" s="15" t="str">
        <f aca="false">IF('Inspection Log'!AO34="","",'Inspection Log'!AO34)</f>
        <v/>
      </c>
      <c r="N37" s="15" t="str">
        <f aca="false">IF(K37="","",IF(AND(L37="FACTORY",M37="YES"),"PASS","FAIL"))</f>
        <v/>
      </c>
      <c r="O37" s="15" t="str">
        <f aca="false">IF(K37="","",IF(N37="FAIL","C",IF(K37&gt;=$B$2,"A",IF(K37&gt;=$B$3,"B","C"))))</f>
        <v/>
      </c>
      <c r="P37" s="16"/>
      <c r="Q37" s="15" t="str">
        <f aca="false">IF(P37&lt;&gt;"",P37,O37)</f>
        <v/>
      </c>
      <c r="R37" s="17" t="str">
        <f aca="false">IF(OR(K37="",Q37="",Q37="C"),"",K37+(1000-A37)/100000)</f>
        <v/>
      </c>
      <c r="S37" s="15" t="str">
        <f aca="false">IF(R37="","",RANK(R37,$R$6:$R$65))</f>
        <v/>
      </c>
    </row>
    <row r="38" customFormat="false" ht="15" hidden="false" customHeight="false" outlineLevel="0" collapsed="false">
      <c r="A38" s="15" t="n">
        <v>33</v>
      </c>
      <c r="B38" s="9" t="str">
        <f aca="false">IF('Inspection Log'!B35="","",'Inspection Log'!B35)</f>
        <v/>
      </c>
      <c r="C38" s="16"/>
      <c r="D38" s="16"/>
      <c r="E38" s="16"/>
      <c r="F38" s="16"/>
      <c r="G38" s="16"/>
      <c r="H38" s="16"/>
      <c r="I38" s="16"/>
      <c r="J38" s="16"/>
      <c r="K38" s="15" t="str">
        <f aca="false">IF(COUNT(C38:J38)=0,"",SUM(C38:J38))</f>
        <v/>
      </c>
      <c r="L38" s="15" t="str">
        <f aca="false">IF('Inspection Log'!L35="","",'Inspection Log'!L35)</f>
        <v/>
      </c>
      <c r="M38" s="15" t="str">
        <f aca="false">IF('Inspection Log'!AO35="","",'Inspection Log'!AO35)</f>
        <v/>
      </c>
      <c r="N38" s="15" t="str">
        <f aca="false">IF(K38="","",IF(AND(L38="FACTORY",M38="YES"),"PASS","FAIL"))</f>
        <v/>
      </c>
      <c r="O38" s="15" t="str">
        <f aca="false">IF(K38="","",IF(N38="FAIL","C",IF(K38&gt;=$B$2,"A",IF(K38&gt;=$B$3,"B","C"))))</f>
        <v/>
      </c>
      <c r="P38" s="16"/>
      <c r="Q38" s="15" t="str">
        <f aca="false">IF(P38&lt;&gt;"",P38,O38)</f>
        <v/>
      </c>
      <c r="R38" s="17" t="str">
        <f aca="false">IF(OR(K38="",Q38="",Q38="C"),"",K38+(1000-A38)/100000)</f>
        <v/>
      </c>
      <c r="S38" s="15" t="str">
        <f aca="false">IF(R38="","",RANK(R38,$R$6:$R$65))</f>
        <v/>
      </c>
    </row>
    <row r="39" customFormat="false" ht="15" hidden="false" customHeight="false" outlineLevel="0" collapsed="false">
      <c r="A39" s="15" t="n">
        <v>34</v>
      </c>
      <c r="B39" s="9" t="str">
        <f aca="false">IF('Inspection Log'!B36="","",'Inspection Log'!B36)</f>
        <v/>
      </c>
      <c r="C39" s="16"/>
      <c r="D39" s="16"/>
      <c r="E39" s="16"/>
      <c r="F39" s="16"/>
      <c r="G39" s="16"/>
      <c r="H39" s="16"/>
      <c r="I39" s="16"/>
      <c r="J39" s="16"/>
      <c r="K39" s="15" t="str">
        <f aca="false">IF(COUNT(C39:J39)=0,"",SUM(C39:J39))</f>
        <v/>
      </c>
      <c r="L39" s="15" t="str">
        <f aca="false">IF('Inspection Log'!L36="","",'Inspection Log'!L36)</f>
        <v/>
      </c>
      <c r="M39" s="15" t="str">
        <f aca="false">IF('Inspection Log'!AO36="","",'Inspection Log'!AO36)</f>
        <v/>
      </c>
      <c r="N39" s="15" t="str">
        <f aca="false">IF(K39="","",IF(AND(L39="FACTORY",M39="YES"),"PASS","FAIL"))</f>
        <v/>
      </c>
      <c r="O39" s="15" t="str">
        <f aca="false">IF(K39="","",IF(N39="FAIL","C",IF(K39&gt;=$B$2,"A",IF(K39&gt;=$B$3,"B","C"))))</f>
        <v/>
      </c>
      <c r="P39" s="16"/>
      <c r="Q39" s="15" t="str">
        <f aca="false">IF(P39&lt;&gt;"",P39,O39)</f>
        <v/>
      </c>
      <c r="R39" s="17" t="str">
        <f aca="false">IF(OR(K39="",Q39="",Q39="C"),"",K39+(1000-A39)/100000)</f>
        <v/>
      </c>
      <c r="S39" s="15" t="str">
        <f aca="false">IF(R39="","",RANK(R39,$R$6:$R$65))</f>
        <v/>
      </c>
    </row>
    <row r="40" customFormat="false" ht="15" hidden="false" customHeight="false" outlineLevel="0" collapsed="false">
      <c r="A40" s="15" t="n">
        <v>35</v>
      </c>
      <c r="B40" s="9" t="str">
        <f aca="false">IF('Inspection Log'!B37="","",'Inspection Log'!B37)</f>
        <v/>
      </c>
      <c r="C40" s="16"/>
      <c r="D40" s="16"/>
      <c r="E40" s="16"/>
      <c r="F40" s="16"/>
      <c r="G40" s="16"/>
      <c r="H40" s="16"/>
      <c r="I40" s="16"/>
      <c r="J40" s="16"/>
      <c r="K40" s="15" t="str">
        <f aca="false">IF(COUNT(C40:J40)=0,"",SUM(C40:J40))</f>
        <v/>
      </c>
      <c r="L40" s="15" t="str">
        <f aca="false">IF('Inspection Log'!L37="","",'Inspection Log'!L37)</f>
        <v/>
      </c>
      <c r="M40" s="15" t="str">
        <f aca="false">IF('Inspection Log'!AO37="","",'Inspection Log'!AO37)</f>
        <v/>
      </c>
      <c r="N40" s="15" t="str">
        <f aca="false">IF(K40="","",IF(AND(L40="FACTORY",M40="YES"),"PASS","FAIL"))</f>
        <v/>
      </c>
      <c r="O40" s="15" t="str">
        <f aca="false">IF(K40="","",IF(N40="FAIL","C",IF(K40&gt;=$B$2,"A",IF(K40&gt;=$B$3,"B","C"))))</f>
        <v/>
      </c>
      <c r="P40" s="16"/>
      <c r="Q40" s="15" t="str">
        <f aca="false">IF(P40&lt;&gt;"",P40,O40)</f>
        <v/>
      </c>
      <c r="R40" s="17" t="str">
        <f aca="false">IF(OR(K40="",Q40="",Q40="C"),"",K40+(1000-A40)/100000)</f>
        <v/>
      </c>
      <c r="S40" s="15" t="str">
        <f aca="false">IF(R40="","",RANK(R40,$R$6:$R$65))</f>
        <v/>
      </c>
    </row>
    <row r="41" customFormat="false" ht="15" hidden="false" customHeight="false" outlineLevel="0" collapsed="false">
      <c r="A41" s="15" t="n">
        <v>36</v>
      </c>
      <c r="B41" s="9" t="str">
        <f aca="false">IF('Inspection Log'!B38="","",'Inspection Log'!B38)</f>
        <v/>
      </c>
      <c r="C41" s="16"/>
      <c r="D41" s="16"/>
      <c r="E41" s="16"/>
      <c r="F41" s="16"/>
      <c r="G41" s="16"/>
      <c r="H41" s="16"/>
      <c r="I41" s="16"/>
      <c r="J41" s="16"/>
      <c r="K41" s="15" t="str">
        <f aca="false">IF(COUNT(C41:J41)=0,"",SUM(C41:J41))</f>
        <v/>
      </c>
      <c r="L41" s="15" t="str">
        <f aca="false">IF('Inspection Log'!L38="","",'Inspection Log'!L38)</f>
        <v/>
      </c>
      <c r="M41" s="15" t="str">
        <f aca="false">IF('Inspection Log'!AO38="","",'Inspection Log'!AO38)</f>
        <v/>
      </c>
      <c r="N41" s="15" t="str">
        <f aca="false">IF(K41="","",IF(AND(L41="FACTORY",M41="YES"),"PASS","FAIL"))</f>
        <v/>
      </c>
      <c r="O41" s="15" t="str">
        <f aca="false">IF(K41="","",IF(N41="FAIL","C",IF(K41&gt;=$B$2,"A",IF(K41&gt;=$B$3,"B","C"))))</f>
        <v/>
      </c>
      <c r="P41" s="16"/>
      <c r="Q41" s="15" t="str">
        <f aca="false">IF(P41&lt;&gt;"",P41,O41)</f>
        <v/>
      </c>
      <c r="R41" s="17" t="str">
        <f aca="false">IF(OR(K41="",Q41="",Q41="C"),"",K41+(1000-A41)/100000)</f>
        <v/>
      </c>
      <c r="S41" s="15" t="str">
        <f aca="false">IF(R41="","",RANK(R41,$R$6:$R$65))</f>
        <v/>
      </c>
    </row>
    <row r="42" customFormat="false" ht="15" hidden="false" customHeight="false" outlineLevel="0" collapsed="false">
      <c r="A42" s="15" t="n">
        <v>37</v>
      </c>
      <c r="B42" s="9" t="str">
        <f aca="false">IF('Inspection Log'!B39="","",'Inspection Log'!B39)</f>
        <v/>
      </c>
      <c r="C42" s="16"/>
      <c r="D42" s="16"/>
      <c r="E42" s="16"/>
      <c r="F42" s="16"/>
      <c r="G42" s="16"/>
      <c r="H42" s="16"/>
      <c r="I42" s="16"/>
      <c r="J42" s="16"/>
      <c r="K42" s="15" t="str">
        <f aca="false">IF(COUNT(C42:J42)=0,"",SUM(C42:J42))</f>
        <v/>
      </c>
      <c r="L42" s="15" t="str">
        <f aca="false">IF('Inspection Log'!L39="","",'Inspection Log'!L39)</f>
        <v/>
      </c>
      <c r="M42" s="15" t="str">
        <f aca="false">IF('Inspection Log'!AO39="","",'Inspection Log'!AO39)</f>
        <v/>
      </c>
      <c r="N42" s="15" t="str">
        <f aca="false">IF(K42="","",IF(AND(L42="FACTORY",M42="YES"),"PASS","FAIL"))</f>
        <v/>
      </c>
      <c r="O42" s="15" t="str">
        <f aca="false">IF(K42="","",IF(N42="FAIL","C",IF(K42&gt;=$B$2,"A",IF(K42&gt;=$B$3,"B","C"))))</f>
        <v/>
      </c>
      <c r="P42" s="16"/>
      <c r="Q42" s="15" t="str">
        <f aca="false">IF(P42&lt;&gt;"",P42,O42)</f>
        <v/>
      </c>
      <c r="R42" s="17" t="str">
        <f aca="false">IF(OR(K42="",Q42="",Q42="C"),"",K42+(1000-A42)/100000)</f>
        <v/>
      </c>
      <c r="S42" s="15" t="str">
        <f aca="false">IF(R42="","",RANK(R42,$R$6:$R$65))</f>
        <v/>
      </c>
    </row>
    <row r="43" customFormat="false" ht="15" hidden="false" customHeight="false" outlineLevel="0" collapsed="false">
      <c r="A43" s="15" t="n">
        <v>38</v>
      </c>
      <c r="B43" s="9" t="str">
        <f aca="false">IF('Inspection Log'!B40="","",'Inspection Log'!B40)</f>
        <v/>
      </c>
      <c r="C43" s="16"/>
      <c r="D43" s="16"/>
      <c r="E43" s="16"/>
      <c r="F43" s="16"/>
      <c r="G43" s="16"/>
      <c r="H43" s="16"/>
      <c r="I43" s="16"/>
      <c r="J43" s="16"/>
      <c r="K43" s="15" t="str">
        <f aca="false">IF(COUNT(C43:J43)=0,"",SUM(C43:J43))</f>
        <v/>
      </c>
      <c r="L43" s="15" t="str">
        <f aca="false">IF('Inspection Log'!L40="","",'Inspection Log'!L40)</f>
        <v/>
      </c>
      <c r="M43" s="15" t="str">
        <f aca="false">IF('Inspection Log'!AO40="","",'Inspection Log'!AO40)</f>
        <v/>
      </c>
      <c r="N43" s="15" t="str">
        <f aca="false">IF(K43="","",IF(AND(L43="FACTORY",M43="YES"),"PASS","FAIL"))</f>
        <v/>
      </c>
      <c r="O43" s="15" t="str">
        <f aca="false">IF(K43="","",IF(N43="FAIL","C",IF(K43&gt;=$B$2,"A",IF(K43&gt;=$B$3,"B","C"))))</f>
        <v/>
      </c>
      <c r="P43" s="16"/>
      <c r="Q43" s="15" t="str">
        <f aca="false">IF(P43&lt;&gt;"",P43,O43)</f>
        <v/>
      </c>
      <c r="R43" s="17" t="str">
        <f aca="false">IF(OR(K43="",Q43="",Q43="C"),"",K43+(1000-A43)/100000)</f>
        <v/>
      </c>
      <c r="S43" s="15" t="str">
        <f aca="false">IF(R43="","",RANK(R43,$R$6:$R$65))</f>
        <v/>
      </c>
    </row>
    <row r="44" customFormat="false" ht="15" hidden="false" customHeight="false" outlineLevel="0" collapsed="false">
      <c r="A44" s="15" t="n">
        <v>39</v>
      </c>
      <c r="B44" s="9" t="str">
        <f aca="false">IF('Inspection Log'!B41="","",'Inspection Log'!B41)</f>
        <v/>
      </c>
      <c r="C44" s="16"/>
      <c r="D44" s="16"/>
      <c r="E44" s="16"/>
      <c r="F44" s="16"/>
      <c r="G44" s="16"/>
      <c r="H44" s="16"/>
      <c r="I44" s="16"/>
      <c r="J44" s="16"/>
      <c r="K44" s="15" t="str">
        <f aca="false">IF(COUNT(C44:J44)=0,"",SUM(C44:J44))</f>
        <v/>
      </c>
      <c r="L44" s="15" t="str">
        <f aca="false">IF('Inspection Log'!L41="","",'Inspection Log'!L41)</f>
        <v/>
      </c>
      <c r="M44" s="15" t="str">
        <f aca="false">IF('Inspection Log'!AO41="","",'Inspection Log'!AO41)</f>
        <v/>
      </c>
      <c r="N44" s="15" t="str">
        <f aca="false">IF(K44="","",IF(AND(L44="FACTORY",M44="YES"),"PASS","FAIL"))</f>
        <v/>
      </c>
      <c r="O44" s="15" t="str">
        <f aca="false">IF(K44="","",IF(N44="FAIL","C",IF(K44&gt;=$B$2,"A",IF(K44&gt;=$B$3,"B","C"))))</f>
        <v/>
      </c>
      <c r="P44" s="16"/>
      <c r="Q44" s="15" t="str">
        <f aca="false">IF(P44&lt;&gt;"",P44,O44)</f>
        <v/>
      </c>
      <c r="R44" s="17" t="str">
        <f aca="false">IF(OR(K44="",Q44="",Q44="C"),"",K44+(1000-A44)/100000)</f>
        <v/>
      </c>
      <c r="S44" s="15" t="str">
        <f aca="false">IF(R44="","",RANK(R44,$R$6:$R$65))</f>
        <v/>
      </c>
    </row>
    <row r="45" customFormat="false" ht="15" hidden="false" customHeight="false" outlineLevel="0" collapsed="false">
      <c r="A45" s="15" t="n">
        <v>40</v>
      </c>
      <c r="B45" s="9" t="str">
        <f aca="false">IF('Inspection Log'!B42="","",'Inspection Log'!B42)</f>
        <v/>
      </c>
      <c r="C45" s="16"/>
      <c r="D45" s="16"/>
      <c r="E45" s="16"/>
      <c r="F45" s="16"/>
      <c r="G45" s="16"/>
      <c r="H45" s="16"/>
      <c r="I45" s="16"/>
      <c r="J45" s="16"/>
      <c r="K45" s="15" t="str">
        <f aca="false">IF(COUNT(C45:J45)=0,"",SUM(C45:J45))</f>
        <v/>
      </c>
      <c r="L45" s="15" t="str">
        <f aca="false">IF('Inspection Log'!L42="","",'Inspection Log'!L42)</f>
        <v/>
      </c>
      <c r="M45" s="15" t="str">
        <f aca="false">IF('Inspection Log'!AO42="","",'Inspection Log'!AO42)</f>
        <v/>
      </c>
      <c r="N45" s="15" t="str">
        <f aca="false">IF(K45="","",IF(AND(L45="FACTORY",M45="YES"),"PASS","FAIL"))</f>
        <v/>
      </c>
      <c r="O45" s="15" t="str">
        <f aca="false">IF(K45="","",IF(N45="FAIL","C",IF(K45&gt;=$B$2,"A",IF(K45&gt;=$B$3,"B","C"))))</f>
        <v/>
      </c>
      <c r="P45" s="16"/>
      <c r="Q45" s="15" t="str">
        <f aca="false">IF(P45&lt;&gt;"",P45,O45)</f>
        <v/>
      </c>
      <c r="R45" s="17" t="str">
        <f aca="false">IF(OR(K45="",Q45="",Q45="C"),"",K45+(1000-A45)/100000)</f>
        <v/>
      </c>
      <c r="S45" s="15" t="str">
        <f aca="false">IF(R45="","",RANK(R45,$R$6:$R$65))</f>
        <v/>
      </c>
    </row>
    <row r="46" customFormat="false" ht="15" hidden="false" customHeight="false" outlineLevel="0" collapsed="false">
      <c r="A46" s="15" t="n">
        <v>41</v>
      </c>
      <c r="B46" s="9" t="str">
        <f aca="false">IF('Inspection Log'!B43="","",'Inspection Log'!B43)</f>
        <v/>
      </c>
      <c r="C46" s="16"/>
      <c r="D46" s="16"/>
      <c r="E46" s="16"/>
      <c r="F46" s="16"/>
      <c r="G46" s="16"/>
      <c r="H46" s="16"/>
      <c r="I46" s="16"/>
      <c r="J46" s="16"/>
      <c r="K46" s="15" t="str">
        <f aca="false">IF(COUNT(C46:J46)=0,"",SUM(C46:J46))</f>
        <v/>
      </c>
      <c r="L46" s="15" t="str">
        <f aca="false">IF('Inspection Log'!L43="","",'Inspection Log'!L43)</f>
        <v/>
      </c>
      <c r="M46" s="15" t="str">
        <f aca="false">IF('Inspection Log'!AO43="","",'Inspection Log'!AO43)</f>
        <v/>
      </c>
      <c r="N46" s="15" t="str">
        <f aca="false">IF(K46="","",IF(AND(L46="FACTORY",M46="YES"),"PASS","FAIL"))</f>
        <v/>
      </c>
      <c r="O46" s="15" t="str">
        <f aca="false">IF(K46="","",IF(N46="FAIL","C",IF(K46&gt;=$B$2,"A",IF(K46&gt;=$B$3,"B","C"))))</f>
        <v/>
      </c>
      <c r="P46" s="16"/>
      <c r="Q46" s="15" t="str">
        <f aca="false">IF(P46&lt;&gt;"",P46,O46)</f>
        <v/>
      </c>
      <c r="R46" s="17" t="str">
        <f aca="false">IF(OR(K46="",Q46="",Q46="C"),"",K46+(1000-A46)/100000)</f>
        <v/>
      </c>
      <c r="S46" s="15" t="str">
        <f aca="false">IF(R46="","",RANK(R46,$R$6:$R$65))</f>
        <v/>
      </c>
    </row>
    <row r="47" customFormat="false" ht="15" hidden="false" customHeight="false" outlineLevel="0" collapsed="false">
      <c r="A47" s="15" t="n">
        <v>42</v>
      </c>
      <c r="B47" s="9" t="str">
        <f aca="false">IF('Inspection Log'!B44="","",'Inspection Log'!B44)</f>
        <v/>
      </c>
      <c r="C47" s="16"/>
      <c r="D47" s="16"/>
      <c r="E47" s="16"/>
      <c r="F47" s="16"/>
      <c r="G47" s="16"/>
      <c r="H47" s="16"/>
      <c r="I47" s="16"/>
      <c r="J47" s="16"/>
      <c r="K47" s="15" t="str">
        <f aca="false">IF(COUNT(C47:J47)=0,"",SUM(C47:J47))</f>
        <v/>
      </c>
      <c r="L47" s="15" t="str">
        <f aca="false">IF('Inspection Log'!L44="","",'Inspection Log'!L44)</f>
        <v/>
      </c>
      <c r="M47" s="15" t="str">
        <f aca="false">IF('Inspection Log'!AO44="","",'Inspection Log'!AO44)</f>
        <v/>
      </c>
      <c r="N47" s="15" t="str">
        <f aca="false">IF(K47="","",IF(AND(L47="FACTORY",M47="YES"),"PASS","FAIL"))</f>
        <v/>
      </c>
      <c r="O47" s="15" t="str">
        <f aca="false">IF(K47="","",IF(N47="FAIL","C",IF(K47&gt;=$B$2,"A",IF(K47&gt;=$B$3,"B","C"))))</f>
        <v/>
      </c>
      <c r="P47" s="16"/>
      <c r="Q47" s="15" t="str">
        <f aca="false">IF(P47&lt;&gt;"",P47,O47)</f>
        <v/>
      </c>
      <c r="R47" s="17" t="str">
        <f aca="false">IF(OR(K47="",Q47="",Q47="C"),"",K47+(1000-A47)/100000)</f>
        <v/>
      </c>
      <c r="S47" s="15" t="str">
        <f aca="false">IF(R47="","",RANK(R47,$R$6:$R$65))</f>
        <v/>
      </c>
    </row>
    <row r="48" customFormat="false" ht="15" hidden="false" customHeight="false" outlineLevel="0" collapsed="false">
      <c r="A48" s="15" t="n">
        <v>43</v>
      </c>
      <c r="B48" s="9" t="str">
        <f aca="false">IF('Inspection Log'!B45="","",'Inspection Log'!B45)</f>
        <v/>
      </c>
      <c r="C48" s="16"/>
      <c r="D48" s="16"/>
      <c r="E48" s="16"/>
      <c r="F48" s="16"/>
      <c r="G48" s="16"/>
      <c r="H48" s="16"/>
      <c r="I48" s="16"/>
      <c r="J48" s="16"/>
      <c r="K48" s="15" t="str">
        <f aca="false">IF(COUNT(C48:J48)=0,"",SUM(C48:J48))</f>
        <v/>
      </c>
      <c r="L48" s="15" t="str">
        <f aca="false">IF('Inspection Log'!L45="","",'Inspection Log'!L45)</f>
        <v/>
      </c>
      <c r="M48" s="15" t="str">
        <f aca="false">IF('Inspection Log'!AO45="","",'Inspection Log'!AO45)</f>
        <v/>
      </c>
      <c r="N48" s="15" t="str">
        <f aca="false">IF(K48="","",IF(AND(L48="FACTORY",M48="YES"),"PASS","FAIL"))</f>
        <v/>
      </c>
      <c r="O48" s="15" t="str">
        <f aca="false">IF(K48="","",IF(N48="FAIL","C",IF(K48&gt;=$B$2,"A",IF(K48&gt;=$B$3,"B","C"))))</f>
        <v/>
      </c>
      <c r="P48" s="16"/>
      <c r="Q48" s="15" t="str">
        <f aca="false">IF(P48&lt;&gt;"",P48,O48)</f>
        <v/>
      </c>
      <c r="R48" s="17" t="str">
        <f aca="false">IF(OR(K48="",Q48="",Q48="C"),"",K48+(1000-A48)/100000)</f>
        <v/>
      </c>
      <c r="S48" s="15" t="str">
        <f aca="false">IF(R48="","",RANK(R48,$R$6:$R$65))</f>
        <v/>
      </c>
    </row>
    <row r="49" customFormat="false" ht="15" hidden="false" customHeight="false" outlineLevel="0" collapsed="false">
      <c r="A49" s="15" t="n">
        <v>44</v>
      </c>
      <c r="B49" s="9" t="str">
        <f aca="false">IF('Inspection Log'!B46="","",'Inspection Log'!B46)</f>
        <v/>
      </c>
      <c r="C49" s="16"/>
      <c r="D49" s="16"/>
      <c r="E49" s="16"/>
      <c r="F49" s="16"/>
      <c r="G49" s="16"/>
      <c r="H49" s="16"/>
      <c r="I49" s="16"/>
      <c r="J49" s="16"/>
      <c r="K49" s="15" t="str">
        <f aca="false">IF(COUNT(C49:J49)=0,"",SUM(C49:J49))</f>
        <v/>
      </c>
      <c r="L49" s="15" t="str">
        <f aca="false">IF('Inspection Log'!L46="","",'Inspection Log'!L46)</f>
        <v/>
      </c>
      <c r="M49" s="15" t="str">
        <f aca="false">IF('Inspection Log'!AO46="","",'Inspection Log'!AO46)</f>
        <v/>
      </c>
      <c r="N49" s="15" t="str">
        <f aca="false">IF(K49="","",IF(AND(L49="FACTORY",M49="YES"),"PASS","FAIL"))</f>
        <v/>
      </c>
      <c r="O49" s="15" t="str">
        <f aca="false">IF(K49="","",IF(N49="FAIL","C",IF(K49&gt;=$B$2,"A",IF(K49&gt;=$B$3,"B","C"))))</f>
        <v/>
      </c>
      <c r="P49" s="16"/>
      <c r="Q49" s="15" t="str">
        <f aca="false">IF(P49&lt;&gt;"",P49,O49)</f>
        <v/>
      </c>
      <c r="R49" s="17" t="str">
        <f aca="false">IF(OR(K49="",Q49="",Q49="C"),"",K49+(1000-A49)/100000)</f>
        <v/>
      </c>
      <c r="S49" s="15" t="str">
        <f aca="false">IF(R49="","",RANK(R49,$R$6:$R$65))</f>
        <v/>
      </c>
    </row>
    <row r="50" customFormat="false" ht="15" hidden="false" customHeight="false" outlineLevel="0" collapsed="false">
      <c r="A50" s="15" t="n">
        <v>45</v>
      </c>
      <c r="B50" s="9" t="str">
        <f aca="false">IF('Inspection Log'!B47="","",'Inspection Log'!B47)</f>
        <v/>
      </c>
      <c r="C50" s="16"/>
      <c r="D50" s="16"/>
      <c r="E50" s="16"/>
      <c r="F50" s="16"/>
      <c r="G50" s="16"/>
      <c r="H50" s="16"/>
      <c r="I50" s="16"/>
      <c r="J50" s="16"/>
      <c r="K50" s="15" t="str">
        <f aca="false">IF(COUNT(C50:J50)=0,"",SUM(C50:J50))</f>
        <v/>
      </c>
      <c r="L50" s="15" t="str">
        <f aca="false">IF('Inspection Log'!L47="","",'Inspection Log'!L47)</f>
        <v/>
      </c>
      <c r="M50" s="15" t="str">
        <f aca="false">IF('Inspection Log'!AO47="","",'Inspection Log'!AO47)</f>
        <v/>
      </c>
      <c r="N50" s="15" t="str">
        <f aca="false">IF(K50="","",IF(AND(L50="FACTORY",M50="YES"),"PASS","FAIL"))</f>
        <v/>
      </c>
      <c r="O50" s="15" t="str">
        <f aca="false">IF(K50="","",IF(N50="FAIL","C",IF(K50&gt;=$B$2,"A",IF(K50&gt;=$B$3,"B","C"))))</f>
        <v/>
      </c>
      <c r="P50" s="16"/>
      <c r="Q50" s="15" t="str">
        <f aca="false">IF(P50&lt;&gt;"",P50,O50)</f>
        <v/>
      </c>
      <c r="R50" s="17" t="str">
        <f aca="false">IF(OR(K50="",Q50="",Q50="C"),"",K50+(1000-A50)/100000)</f>
        <v/>
      </c>
      <c r="S50" s="15" t="str">
        <f aca="false">IF(R50="","",RANK(R50,$R$6:$R$65))</f>
        <v/>
      </c>
    </row>
    <row r="51" customFormat="false" ht="15" hidden="false" customHeight="false" outlineLevel="0" collapsed="false">
      <c r="A51" s="15" t="n">
        <v>46</v>
      </c>
      <c r="B51" s="9" t="str">
        <f aca="false">IF('Inspection Log'!B48="","",'Inspection Log'!B48)</f>
        <v/>
      </c>
      <c r="C51" s="16"/>
      <c r="D51" s="16"/>
      <c r="E51" s="16"/>
      <c r="F51" s="16"/>
      <c r="G51" s="16"/>
      <c r="H51" s="16"/>
      <c r="I51" s="16"/>
      <c r="J51" s="16"/>
      <c r="K51" s="15" t="str">
        <f aca="false">IF(COUNT(C51:J51)=0,"",SUM(C51:J51))</f>
        <v/>
      </c>
      <c r="L51" s="15" t="str">
        <f aca="false">IF('Inspection Log'!L48="","",'Inspection Log'!L48)</f>
        <v/>
      </c>
      <c r="M51" s="15" t="str">
        <f aca="false">IF('Inspection Log'!AO48="","",'Inspection Log'!AO48)</f>
        <v/>
      </c>
      <c r="N51" s="15" t="str">
        <f aca="false">IF(K51="","",IF(AND(L51="FACTORY",M51="YES"),"PASS","FAIL"))</f>
        <v/>
      </c>
      <c r="O51" s="15" t="str">
        <f aca="false">IF(K51="","",IF(N51="FAIL","C",IF(K51&gt;=$B$2,"A",IF(K51&gt;=$B$3,"B","C"))))</f>
        <v/>
      </c>
      <c r="P51" s="16"/>
      <c r="Q51" s="15" t="str">
        <f aca="false">IF(P51&lt;&gt;"",P51,O51)</f>
        <v/>
      </c>
      <c r="R51" s="17" t="str">
        <f aca="false">IF(OR(K51="",Q51="",Q51="C"),"",K51+(1000-A51)/100000)</f>
        <v/>
      </c>
      <c r="S51" s="15" t="str">
        <f aca="false">IF(R51="","",RANK(R51,$R$6:$R$65))</f>
        <v/>
      </c>
    </row>
    <row r="52" customFormat="false" ht="15" hidden="false" customHeight="false" outlineLevel="0" collapsed="false">
      <c r="A52" s="15" t="n">
        <v>47</v>
      </c>
      <c r="B52" s="9" t="str">
        <f aca="false">IF('Inspection Log'!B49="","",'Inspection Log'!B49)</f>
        <v/>
      </c>
      <c r="C52" s="16"/>
      <c r="D52" s="16"/>
      <c r="E52" s="16"/>
      <c r="F52" s="16"/>
      <c r="G52" s="16"/>
      <c r="H52" s="16"/>
      <c r="I52" s="16"/>
      <c r="J52" s="16"/>
      <c r="K52" s="15" t="str">
        <f aca="false">IF(COUNT(C52:J52)=0,"",SUM(C52:J52))</f>
        <v/>
      </c>
      <c r="L52" s="15" t="str">
        <f aca="false">IF('Inspection Log'!L49="","",'Inspection Log'!L49)</f>
        <v/>
      </c>
      <c r="M52" s="15" t="str">
        <f aca="false">IF('Inspection Log'!AO49="","",'Inspection Log'!AO49)</f>
        <v/>
      </c>
      <c r="N52" s="15" t="str">
        <f aca="false">IF(K52="","",IF(AND(L52="FACTORY",M52="YES"),"PASS","FAIL"))</f>
        <v/>
      </c>
      <c r="O52" s="15" t="str">
        <f aca="false">IF(K52="","",IF(N52="FAIL","C",IF(K52&gt;=$B$2,"A",IF(K52&gt;=$B$3,"B","C"))))</f>
        <v/>
      </c>
      <c r="P52" s="16"/>
      <c r="Q52" s="15" t="str">
        <f aca="false">IF(P52&lt;&gt;"",P52,O52)</f>
        <v/>
      </c>
      <c r="R52" s="17" t="str">
        <f aca="false">IF(OR(K52="",Q52="",Q52="C"),"",K52+(1000-A52)/100000)</f>
        <v/>
      </c>
      <c r="S52" s="15" t="str">
        <f aca="false">IF(R52="","",RANK(R52,$R$6:$R$65))</f>
        <v/>
      </c>
    </row>
    <row r="53" customFormat="false" ht="15" hidden="false" customHeight="false" outlineLevel="0" collapsed="false">
      <c r="A53" s="15" t="n">
        <v>48</v>
      </c>
      <c r="B53" s="9" t="str">
        <f aca="false">IF('Inspection Log'!B50="","",'Inspection Log'!B50)</f>
        <v/>
      </c>
      <c r="C53" s="16"/>
      <c r="D53" s="16"/>
      <c r="E53" s="16"/>
      <c r="F53" s="16"/>
      <c r="G53" s="16"/>
      <c r="H53" s="16"/>
      <c r="I53" s="16"/>
      <c r="J53" s="16"/>
      <c r="K53" s="15" t="str">
        <f aca="false">IF(COUNT(C53:J53)=0,"",SUM(C53:J53))</f>
        <v/>
      </c>
      <c r="L53" s="15" t="str">
        <f aca="false">IF('Inspection Log'!L50="","",'Inspection Log'!L50)</f>
        <v/>
      </c>
      <c r="M53" s="15" t="str">
        <f aca="false">IF('Inspection Log'!AO50="","",'Inspection Log'!AO50)</f>
        <v/>
      </c>
      <c r="N53" s="15" t="str">
        <f aca="false">IF(K53="","",IF(AND(L53="FACTORY",M53="YES"),"PASS","FAIL"))</f>
        <v/>
      </c>
      <c r="O53" s="15" t="str">
        <f aca="false">IF(K53="","",IF(N53="FAIL","C",IF(K53&gt;=$B$2,"A",IF(K53&gt;=$B$3,"B","C"))))</f>
        <v/>
      </c>
      <c r="P53" s="16"/>
      <c r="Q53" s="15" t="str">
        <f aca="false">IF(P53&lt;&gt;"",P53,O53)</f>
        <v/>
      </c>
      <c r="R53" s="17" t="str">
        <f aca="false">IF(OR(K53="",Q53="",Q53="C"),"",K53+(1000-A53)/100000)</f>
        <v/>
      </c>
      <c r="S53" s="15" t="str">
        <f aca="false">IF(R53="","",RANK(R53,$R$6:$R$65))</f>
        <v/>
      </c>
    </row>
    <row r="54" customFormat="false" ht="15" hidden="false" customHeight="false" outlineLevel="0" collapsed="false">
      <c r="A54" s="15" t="n">
        <v>49</v>
      </c>
      <c r="B54" s="9" t="str">
        <f aca="false">IF('Inspection Log'!B51="","",'Inspection Log'!B51)</f>
        <v/>
      </c>
      <c r="C54" s="16"/>
      <c r="D54" s="16"/>
      <c r="E54" s="16"/>
      <c r="F54" s="16"/>
      <c r="G54" s="16"/>
      <c r="H54" s="16"/>
      <c r="I54" s="16"/>
      <c r="J54" s="16"/>
      <c r="K54" s="15" t="str">
        <f aca="false">IF(COUNT(C54:J54)=0,"",SUM(C54:J54))</f>
        <v/>
      </c>
      <c r="L54" s="15" t="str">
        <f aca="false">IF('Inspection Log'!L51="","",'Inspection Log'!L51)</f>
        <v/>
      </c>
      <c r="M54" s="15" t="str">
        <f aca="false">IF('Inspection Log'!AO51="","",'Inspection Log'!AO51)</f>
        <v/>
      </c>
      <c r="N54" s="15" t="str">
        <f aca="false">IF(K54="","",IF(AND(L54="FACTORY",M54="YES"),"PASS","FAIL"))</f>
        <v/>
      </c>
      <c r="O54" s="15" t="str">
        <f aca="false">IF(K54="","",IF(N54="FAIL","C",IF(K54&gt;=$B$2,"A",IF(K54&gt;=$B$3,"B","C"))))</f>
        <v/>
      </c>
      <c r="P54" s="16"/>
      <c r="Q54" s="15" t="str">
        <f aca="false">IF(P54&lt;&gt;"",P54,O54)</f>
        <v/>
      </c>
      <c r="R54" s="17" t="str">
        <f aca="false">IF(OR(K54="",Q54="",Q54="C"),"",K54+(1000-A54)/100000)</f>
        <v/>
      </c>
      <c r="S54" s="15" t="str">
        <f aca="false">IF(R54="","",RANK(R54,$R$6:$R$65))</f>
        <v/>
      </c>
    </row>
    <row r="55" customFormat="false" ht="15" hidden="false" customHeight="false" outlineLevel="0" collapsed="false">
      <c r="A55" s="15" t="n">
        <v>50</v>
      </c>
      <c r="B55" s="9" t="str">
        <f aca="false">IF('Inspection Log'!B52="","",'Inspection Log'!B52)</f>
        <v/>
      </c>
      <c r="C55" s="16"/>
      <c r="D55" s="16"/>
      <c r="E55" s="16"/>
      <c r="F55" s="16"/>
      <c r="G55" s="16"/>
      <c r="H55" s="16"/>
      <c r="I55" s="16"/>
      <c r="J55" s="16"/>
      <c r="K55" s="15" t="str">
        <f aca="false">IF(COUNT(C55:J55)=0,"",SUM(C55:J55))</f>
        <v/>
      </c>
      <c r="L55" s="15" t="str">
        <f aca="false">IF('Inspection Log'!L52="","",'Inspection Log'!L52)</f>
        <v/>
      </c>
      <c r="M55" s="15" t="str">
        <f aca="false">IF('Inspection Log'!AO52="","",'Inspection Log'!AO52)</f>
        <v/>
      </c>
      <c r="N55" s="15" t="str">
        <f aca="false">IF(K55="","",IF(AND(L55="FACTORY",M55="YES"),"PASS","FAIL"))</f>
        <v/>
      </c>
      <c r="O55" s="15" t="str">
        <f aca="false">IF(K55="","",IF(N55="FAIL","C",IF(K55&gt;=$B$2,"A",IF(K55&gt;=$B$3,"B","C"))))</f>
        <v/>
      </c>
      <c r="P55" s="16"/>
      <c r="Q55" s="15" t="str">
        <f aca="false">IF(P55&lt;&gt;"",P55,O55)</f>
        <v/>
      </c>
      <c r="R55" s="17" t="str">
        <f aca="false">IF(OR(K55="",Q55="",Q55="C"),"",K55+(1000-A55)/100000)</f>
        <v/>
      </c>
      <c r="S55" s="15" t="str">
        <f aca="false">IF(R55="","",RANK(R55,$R$6:$R$65))</f>
        <v/>
      </c>
    </row>
    <row r="56" customFormat="false" ht="15" hidden="false" customHeight="false" outlineLevel="0" collapsed="false">
      <c r="A56" s="15" t="n">
        <v>51</v>
      </c>
      <c r="B56" s="9" t="str">
        <f aca="false">IF('Inspection Log'!B53="","",'Inspection Log'!B53)</f>
        <v/>
      </c>
      <c r="C56" s="16"/>
      <c r="D56" s="16"/>
      <c r="E56" s="16"/>
      <c r="F56" s="16"/>
      <c r="G56" s="16"/>
      <c r="H56" s="16"/>
      <c r="I56" s="16"/>
      <c r="J56" s="16"/>
      <c r="K56" s="15" t="str">
        <f aca="false">IF(COUNT(C56:J56)=0,"",SUM(C56:J56))</f>
        <v/>
      </c>
      <c r="L56" s="15" t="str">
        <f aca="false">IF('Inspection Log'!L53="","",'Inspection Log'!L53)</f>
        <v/>
      </c>
      <c r="M56" s="15" t="str">
        <f aca="false">IF('Inspection Log'!AO53="","",'Inspection Log'!AO53)</f>
        <v/>
      </c>
      <c r="N56" s="15" t="str">
        <f aca="false">IF(K56="","",IF(AND(L56="FACTORY",M56="YES"),"PASS","FAIL"))</f>
        <v/>
      </c>
      <c r="O56" s="15" t="str">
        <f aca="false">IF(K56="","",IF(N56="FAIL","C",IF(K56&gt;=$B$2,"A",IF(K56&gt;=$B$3,"B","C"))))</f>
        <v/>
      </c>
      <c r="P56" s="16"/>
      <c r="Q56" s="15" t="str">
        <f aca="false">IF(P56&lt;&gt;"",P56,O56)</f>
        <v/>
      </c>
      <c r="R56" s="17" t="str">
        <f aca="false">IF(OR(K56="",Q56="",Q56="C"),"",K56+(1000-A56)/100000)</f>
        <v/>
      </c>
      <c r="S56" s="15" t="str">
        <f aca="false">IF(R56="","",RANK(R56,$R$6:$R$65))</f>
        <v/>
      </c>
    </row>
    <row r="57" customFormat="false" ht="15" hidden="false" customHeight="false" outlineLevel="0" collapsed="false">
      <c r="A57" s="15" t="n">
        <v>52</v>
      </c>
      <c r="B57" s="9" t="str">
        <f aca="false">IF('Inspection Log'!B54="","",'Inspection Log'!B54)</f>
        <v/>
      </c>
      <c r="C57" s="16"/>
      <c r="D57" s="16"/>
      <c r="E57" s="16"/>
      <c r="F57" s="16"/>
      <c r="G57" s="16"/>
      <c r="H57" s="16"/>
      <c r="I57" s="16"/>
      <c r="J57" s="16"/>
      <c r="K57" s="15" t="str">
        <f aca="false">IF(COUNT(C57:J57)=0,"",SUM(C57:J57))</f>
        <v/>
      </c>
      <c r="L57" s="15" t="str">
        <f aca="false">IF('Inspection Log'!L54="","",'Inspection Log'!L54)</f>
        <v/>
      </c>
      <c r="M57" s="15" t="str">
        <f aca="false">IF('Inspection Log'!AO54="","",'Inspection Log'!AO54)</f>
        <v/>
      </c>
      <c r="N57" s="15" t="str">
        <f aca="false">IF(K57="","",IF(AND(L57="FACTORY",M57="YES"),"PASS","FAIL"))</f>
        <v/>
      </c>
      <c r="O57" s="15" t="str">
        <f aca="false">IF(K57="","",IF(N57="FAIL","C",IF(K57&gt;=$B$2,"A",IF(K57&gt;=$B$3,"B","C"))))</f>
        <v/>
      </c>
      <c r="P57" s="16"/>
      <c r="Q57" s="15" t="str">
        <f aca="false">IF(P57&lt;&gt;"",P57,O57)</f>
        <v/>
      </c>
      <c r="R57" s="17" t="str">
        <f aca="false">IF(OR(K57="",Q57="",Q57="C"),"",K57+(1000-A57)/100000)</f>
        <v/>
      </c>
      <c r="S57" s="15" t="str">
        <f aca="false">IF(R57="","",RANK(R57,$R$6:$R$65))</f>
        <v/>
      </c>
    </row>
    <row r="58" customFormat="false" ht="15" hidden="false" customHeight="false" outlineLevel="0" collapsed="false">
      <c r="A58" s="15" t="n">
        <v>53</v>
      </c>
      <c r="B58" s="9" t="str">
        <f aca="false">IF('Inspection Log'!B55="","",'Inspection Log'!B55)</f>
        <v/>
      </c>
      <c r="C58" s="16"/>
      <c r="D58" s="16"/>
      <c r="E58" s="16"/>
      <c r="F58" s="16"/>
      <c r="G58" s="16"/>
      <c r="H58" s="16"/>
      <c r="I58" s="16"/>
      <c r="J58" s="16"/>
      <c r="K58" s="15" t="str">
        <f aca="false">IF(COUNT(C58:J58)=0,"",SUM(C58:J58))</f>
        <v/>
      </c>
      <c r="L58" s="15" t="str">
        <f aca="false">IF('Inspection Log'!L55="","",'Inspection Log'!L55)</f>
        <v/>
      </c>
      <c r="M58" s="15" t="str">
        <f aca="false">IF('Inspection Log'!AO55="","",'Inspection Log'!AO55)</f>
        <v/>
      </c>
      <c r="N58" s="15" t="str">
        <f aca="false">IF(K58="","",IF(AND(L58="FACTORY",M58="YES"),"PASS","FAIL"))</f>
        <v/>
      </c>
      <c r="O58" s="15" t="str">
        <f aca="false">IF(K58="","",IF(N58="FAIL","C",IF(K58&gt;=$B$2,"A",IF(K58&gt;=$B$3,"B","C"))))</f>
        <v/>
      </c>
      <c r="P58" s="16"/>
      <c r="Q58" s="15" t="str">
        <f aca="false">IF(P58&lt;&gt;"",P58,O58)</f>
        <v/>
      </c>
      <c r="R58" s="17" t="str">
        <f aca="false">IF(OR(K58="",Q58="",Q58="C"),"",K58+(1000-A58)/100000)</f>
        <v/>
      </c>
      <c r="S58" s="15" t="str">
        <f aca="false">IF(R58="","",RANK(R58,$R$6:$R$65))</f>
        <v/>
      </c>
    </row>
    <row r="59" customFormat="false" ht="15" hidden="false" customHeight="false" outlineLevel="0" collapsed="false">
      <c r="A59" s="15" t="n">
        <v>54</v>
      </c>
      <c r="B59" s="9" t="str">
        <f aca="false">IF('Inspection Log'!B56="","",'Inspection Log'!B56)</f>
        <v/>
      </c>
      <c r="C59" s="16"/>
      <c r="D59" s="16"/>
      <c r="E59" s="16"/>
      <c r="F59" s="16"/>
      <c r="G59" s="16"/>
      <c r="H59" s="16"/>
      <c r="I59" s="16"/>
      <c r="J59" s="16"/>
      <c r="K59" s="15" t="str">
        <f aca="false">IF(COUNT(C59:J59)=0,"",SUM(C59:J59))</f>
        <v/>
      </c>
      <c r="L59" s="15" t="str">
        <f aca="false">IF('Inspection Log'!L56="","",'Inspection Log'!L56)</f>
        <v/>
      </c>
      <c r="M59" s="15" t="str">
        <f aca="false">IF('Inspection Log'!AO56="","",'Inspection Log'!AO56)</f>
        <v/>
      </c>
      <c r="N59" s="15" t="str">
        <f aca="false">IF(K59="","",IF(AND(L59="FACTORY",M59="YES"),"PASS","FAIL"))</f>
        <v/>
      </c>
      <c r="O59" s="15" t="str">
        <f aca="false">IF(K59="","",IF(N59="FAIL","C",IF(K59&gt;=$B$2,"A",IF(K59&gt;=$B$3,"B","C"))))</f>
        <v/>
      </c>
      <c r="P59" s="16"/>
      <c r="Q59" s="15" t="str">
        <f aca="false">IF(P59&lt;&gt;"",P59,O59)</f>
        <v/>
      </c>
      <c r="R59" s="17" t="str">
        <f aca="false">IF(OR(K59="",Q59="",Q59="C"),"",K59+(1000-A59)/100000)</f>
        <v/>
      </c>
      <c r="S59" s="15" t="str">
        <f aca="false">IF(R59="","",RANK(R59,$R$6:$R$65))</f>
        <v/>
      </c>
    </row>
    <row r="60" customFormat="false" ht="15" hidden="false" customHeight="false" outlineLevel="0" collapsed="false">
      <c r="A60" s="15" t="n">
        <v>55</v>
      </c>
      <c r="B60" s="9" t="str">
        <f aca="false">IF('Inspection Log'!B57="","",'Inspection Log'!B57)</f>
        <v/>
      </c>
      <c r="C60" s="16"/>
      <c r="D60" s="16"/>
      <c r="E60" s="16"/>
      <c r="F60" s="16"/>
      <c r="G60" s="16"/>
      <c r="H60" s="16"/>
      <c r="I60" s="16"/>
      <c r="J60" s="16"/>
      <c r="K60" s="15" t="str">
        <f aca="false">IF(COUNT(C60:J60)=0,"",SUM(C60:J60))</f>
        <v/>
      </c>
      <c r="L60" s="15" t="str">
        <f aca="false">IF('Inspection Log'!L57="","",'Inspection Log'!L57)</f>
        <v/>
      </c>
      <c r="M60" s="15" t="str">
        <f aca="false">IF('Inspection Log'!AO57="","",'Inspection Log'!AO57)</f>
        <v/>
      </c>
      <c r="N60" s="15" t="str">
        <f aca="false">IF(K60="","",IF(AND(L60="FACTORY",M60="YES"),"PASS","FAIL"))</f>
        <v/>
      </c>
      <c r="O60" s="15" t="str">
        <f aca="false">IF(K60="","",IF(N60="FAIL","C",IF(K60&gt;=$B$2,"A",IF(K60&gt;=$B$3,"B","C"))))</f>
        <v/>
      </c>
      <c r="P60" s="16"/>
      <c r="Q60" s="15" t="str">
        <f aca="false">IF(P60&lt;&gt;"",P60,O60)</f>
        <v/>
      </c>
      <c r="R60" s="17" t="str">
        <f aca="false">IF(OR(K60="",Q60="",Q60="C"),"",K60+(1000-A60)/100000)</f>
        <v/>
      </c>
      <c r="S60" s="15" t="str">
        <f aca="false">IF(R60="","",RANK(R60,$R$6:$R$65))</f>
        <v/>
      </c>
    </row>
    <row r="61" customFormat="false" ht="15" hidden="false" customHeight="false" outlineLevel="0" collapsed="false">
      <c r="A61" s="15" t="n">
        <v>56</v>
      </c>
      <c r="B61" s="9" t="str">
        <f aca="false">IF('Inspection Log'!B58="","",'Inspection Log'!B58)</f>
        <v/>
      </c>
      <c r="C61" s="16"/>
      <c r="D61" s="16"/>
      <c r="E61" s="16"/>
      <c r="F61" s="16"/>
      <c r="G61" s="16"/>
      <c r="H61" s="16"/>
      <c r="I61" s="16"/>
      <c r="J61" s="16"/>
      <c r="K61" s="15" t="str">
        <f aca="false">IF(COUNT(C61:J61)=0,"",SUM(C61:J61))</f>
        <v/>
      </c>
      <c r="L61" s="15" t="str">
        <f aca="false">IF('Inspection Log'!L58="","",'Inspection Log'!L58)</f>
        <v/>
      </c>
      <c r="M61" s="15" t="str">
        <f aca="false">IF('Inspection Log'!AO58="","",'Inspection Log'!AO58)</f>
        <v/>
      </c>
      <c r="N61" s="15" t="str">
        <f aca="false">IF(K61="","",IF(AND(L61="FACTORY",M61="YES"),"PASS","FAIL"))</f>
        <v/>
      </c>
      <c r="O61" s="15" t="str">
        <f aca="false">IF(K61="","",IF(N61="FAIL","C",IF(K61&gt;=$B$2,"A",IF(K61&gt;=$B$3,"B","C"))))</f>
        <v/>
      </c>
      <c r="P61" s="16"/>
      <c r="Q61" s="15" t="str">
        <f aca="false">IF(P61&lt;&gt;"",P61,O61)</f>
        <v/>
      </c>
      <c r="R61" s="17" t="str">
        <f aca="false">IF(OR(K61="",Q61="",Q61="C"),"",K61+(1000-A61)/100000)</f>
        <v/>
      </c>
      <c r="S61" s="15" t="str">
        <f aca="false">IF(R61="","",RANK(R61,$R$6:$R$65))</f>
        <v/>
      </c>
    </row>
    <row r="62" customFormat="false" ht="15" hidden="false" customHeight="false" outlineLevel="0" collapsed="false">
      <c r="A62" s="15" t="n">
        <v>57</v>
      </c>
      <c r="B62" s="9" t="str">
        <f aca="false">IF('Inspection Log'!B59="","",'Inspection Log'!B59)</f>
        <v/>
      </c>
      <c r="C62" s="16"/>
      <c r="D62" s="16"/>
      <c r="E62" s="16"/>
      <c r="F62" s="16"/>
      <c r="G62" s="16"/>
      <c r="H62" s="16"/>
      <c r="I62" s="16"/>
      <c r="J62" s="16"/>
      <c r="K62" s="15" t="str">
        <f aca="false">IF(COUNT(C62:J62)=0,"",SUM(C62:J62))</f>
        <v/>
      </c>
      <c r="L62" s="15" t="str">
        <f aca="false">IF('Inspection Log'!L59="","",'Inspection Log'!L59)</f>
        <v/>
      </c>
      <c r="M62" s="15" t="str">
        <f aca="false">IF('Inspection Log'!AO59="","",'Inspection Log'!AO59)</f>
        <v/>
      </c>
      <c r="N62" s="15" t="str">
        <f aca="false">IF(K62="","",IF(AND(L62="FACTORY",M62="YES"),"PASS","FAIL"))</f>
        <v/>
      </c>
      <c r="O62" s="15" t="str">
        <f aca="false">IF(K62="","",IF(N62="FAIL","C",IF(K62&gt;=$B$2,"A",IF(K62&gt;=$B$3,"B","C"))))</f>
        <v/>
      </c>
      <c r="P62" s="16"/>
      <c r="Q62" s="15" t="str">
        <f aca="false">IF(P62&lt;&gt;"",P62,O62)</f>
        <v/>
      </c>
      <c r="R62" s="17" t="str">
        <f aca="false">IF(OR(K62="",Q62="",Q62="C"),"",K62+(1000-A62)/100000)</f>
        <v/>
      </c>
      <c r="S62" s="15" t="str">
        <f aca="false">IF(R62="","",RANK(R62,$R$6:$R$65))</f>
        <v/>
      </c>
    </row>
    <row r="63" customFormat="false" ht="15" hidden="false" customHeight="false" outlineLevel="0" collapsed="false">
      <c r="A63" s="15" t="n">
        <v>58</v>
      </c>
      <c r="B63" s="9" t="str">
        <f aca="false">IF('Inspection Log'!B60="","",'Inspection Log'!B60)</f>
        <v/>
      </c>
      <c r="C63" s="16"/>
      <c r="D63" s="16"/>
      <c r="E63" s="16"/>
      <c r="F63" s="16"/>
      <c r="G63" s="16"/>
      <c r="H63" s="16"/>
      <c r="I63" s="16"/>
      <c r="J63" s="16"/>
      <c r="K63" s="15" t="str">
        <f aca="false">IF(COUNT(C63:J63)=0,"",SUM(C63:J63))</f>
        <v/>
      </c>
      <c r="L63" s="15" t="str">
        <f aca="false">IF('Inspection Log'!L60="","",'Inspection Log'!L60)</f>
        <v/>
      </c>
      <c r="M63" s="15" t="str">
        <f aca="false">IF('Inspection Log'!AO60="","",'Inspection Log'!AO60)</f>
        <v/>
      </c>
      <c r="N63" s="15" t="str">
        <f aca="false">IF(K63="","",IF(AND(L63="FACTORY",M63="YES"),"PASS","FAIL"))</f>
        <v/>
      </c>
      <c r="O63" s="15" t="str">
        <f aca="false">IF(K63="","",IF(N63="FAIL","C",IF(K63&gt;=$B$2,"A",IF(K63&gt;=$B$3,"B","C"))))</f>
        <v/>
      </c>
      <c r="P63" s="16"/>
      <c r="Q63" s="15" t="str">
        <f aca="false">IF(P63&lt;&gt;"",P63,O63)</f>
        <v/>
      </c>
      <c r="R63" s="17" t="str">
        <f aca="false">IF(OR(K63="",Q63="",Q63="C"),"",K63+(1000-A63)/100000)</f>
        <v/>
      </c>
      <c r="S63" s="15" t="str">
        <f aca="false">IF(R63="","",RANK(R63,$R$6:$R$65))</f>
        <v/>
      </c>
    </row>
    <row r="64" customFormat="false" ht="15" hidden="false" customHeight="false" outlineLevel="0" collapsed="false">
      <c r="A64" s="15" t="n">
        <v>59</v>
      </c>
      <c r="B64" s="9" t="str">
        <f aca="false">IF('Inspection Log'!B61="","",'Inspection Log'!B61)</f>
        <v/>
      </c>
      <c r="C64" s="16"/>
      <c r="D64" s="16"/>
      <c r="E64" s="16"/>
      <c r="F64" s="16"/>
      <c r="G64" s="16"/>
      <c r="H64" s="16"/>
      <c r="I64" s="16"/>
      <c r="J64" s="16"/>
      <c r="K64" s="15" t="str">
        <f aca="false">IF(COUNT(C64:J64)=0,"",SUM(C64:J64))</f>
        <v/>
      </c>
      <c r="L64" s="15" t="str">
        <f aca="false">IF('Inspection Log'!L61="","",'Inspection Log'!L61)</f>
        <v/>
      </c>
      <c r="M64" s="15" t="str">
        <f aca="false">IF('Inspection Log'!AO61="","",'Inspection Log'!AO61)</f>
        <v/>
      </c>
      <c r="N64" s="15" t="str">
        <f aca="false">IF(K64="","",IF(AND(L64="FACTORY",M64="YES"),"PASS","FAIL"))</f>
        <v/>
      </c>
      <c r="O64" s="15" t="str">
        <f aca="false">IF(K64="","",IF(N64="FAIL","C",IF(K64&gt;=$B$2,"A",IF(K64&gt;=$B$3,"B","C"))))</f>
        <v/>
      </c>
      <c r="P64" s="16"/>
      <c r="Q64" s="15" t="str">
        <f aca="false">IF(P64&lt;&gt;"",P64,O64)</f>
        <v/>
      </c>
      <c r="R64" s="17" t="str">
        <f aca="false">IF(OR(K64="",Q64="",Q64="C"),"",K64+(1000-A64)/100000)</f>
        <v/>
      </c>
      <c r="S64" s="15" t="str">
        <f aca="false">IF(R64="","",RANK(R64,$R$6:$R$65))</f>
        <v/>
      </c>
    </row>
    <row r="65" customFormat="false" ht="15" hidden="false" customHeight="false" outlineLevel="0" collapsed="false">
      <c r="A65" s="15" t="n">
        <v>60</v>
      </c>
      <c r="B65" s="9" t="str">
        <f aca="false">IF('Inspection Log'!B62="","",'Inspection Log'!B62)</f>
        <v/>
      </c>
      <c r="C65" s="16"/>
      <c r="D65" s="16"/>
      <c r="E65" s="16"/>
      <c r="F65" s="16"/>
      <c r="G65" s="16"/>
      <c r="H65" s="16"/>
      <c r="I65" s="16"/>
      <c r="J65" s="16"/>
      <c r="K65" s="15" t="str">
        <f aca="false">IF(COUNT(C65:J65)=0,"",SUM(C65:J65))</f>
        <v/>
      </c>
      <c r="L65" s="15" t="str">
        <f aca="false">IF('Inspection Log'!L62="","",'Inspection Log'!L62)</f>
        <v/>
      </c>
      <c r="M65" s="15" t="str">
        <f aca="false">IF('Inspection Log'!AO62="","",'Inspection Log'!AO62)</f>
        <v/>
      </c>
      <c r="N65" s="15" t="str">
        <f aca="false">IF(K65="","",IF(AND(L65="FACTORY",M65="YES"),"PASS","FAIL"))</f>
        <v/>
      </c>
      <c r="O65" s="15" t="str">
        <f aca="false">IF(K65="","",IF(N65="FAIL","C",IF(K65&gt;=$B$2,"A",IF(K65&gt;=$B$3,"B","C"))))</f>
        <v/>
      </c>
      <c r="P65" s="16"/>
      <c r="Q65" s="15" t="str">
        <f aca="false">IF(P65&lt;&gt;"",P65,O65)</f>
        <v/>
      </c>
      <c r="R65" s="17" t="str">
        <f aca="false">IF(OR(K65="",Q65="",Q65="C"),"",K65+(1000-A65)/100000)</f>
        <v/>
      </c>
      <c r="S65" s="15" t="str">
        <f aca="false">IF(R65="","",RANK(R65,$R$6:$R$65))</f>
        <v/>
      </c>
    </row>
  </sheetData>
  <mergeCells count="1">
    <mergeCell ref="C2:S3"/>
  </mergeCells>
  <conditionalFormatting sqref="O6:O65">
    <cfRule type="expression" priority="2" aboveAverage="0" equalAverage="0" bottom="0" percent="0" rank="0" text="" dxfId="6">
      <formula>O6="A"</formula>
    </cfRule>
    <cfRule type="expression" priority="3" aboveAverage="0" equalAverage="0" bottom="0" percent="0" rank="0" text="" dxfId="7">
      <formula>O6="B"</formula>
    </cfRule>
    <cfRule type="expression" priority="4" aboveAverage="0" equalAverage="0" bottom="0" percent="0" rank="0" text="" dxfId="8">
      <formula>O6="C"</formula>
    </cfRule>
  </conditionalFormatting>
  <conditionalFormatting sqref="Q6:Q65">
    <cfRule type="expression" priority="5" aboveAverage="0" equalAverage="0" bottom="0" percent="0" rank="0" text="" dxfId="6">
      <formula>Q6="A"</formula>
    </cfRule>
    <cfRule type="expression" priority="6" aboveAverage="0" equalAverage="0" bottom="0" percent="0" rank="0" text="" dxfId="7">
      <formula>Q6="B"</formula>
    </cfRule>
    <cfRule type="expression" priority="7" aboveAverage="0" equalAverage="0" bottom="0" percent="0" rank="0" text="" dxfId="8">
      <formula>Q6="C"</formula>
    </cfRule>
  </conditionalFormatting>
  <dataValidations count="6">
    <dataValidation allowBlank="true" error="Enter a score from 0 to 25." errorStyle="stop" errorTitle="Score out of range" operator="between" showDropDown="false" showErrorMessage="false" showInputMessage="false" sqref="C6:C65" type="decimal">
      <formula1>0</formula1>
      <formula2>25</formula2>
    </dataValidation>
    <dataValidation allowBlank="true" error="Enter a score from 0 to 20." errorStyle="stop" errorTitle="Score out of range" operator="between" showDropDown="false" showErrorMessage="false" showInputMessage="false" sqref="D6:D65" type="decimal">
      <formula1>0</formula1>
      <formula2>20</formula2>
    </dataValidation>
    <dataValidation allowBlank="true" error="Enter a score from 0 to 15." errorStyle="stop" errorTitle="Score out of range" operator="between" showDropDown="false" showErrorMessage="false" showInputMessage="false" sqref="E6:E65" type="decimal">
      <formula1>0</formula1>
      <formula2>15</formula2>
    </dataValidation>
    <dataValidation allowBlank="true" error="Enter a score from 0 to 10." errorStyle="stop" errorTitle="Score out of range" operator="between" showDropDown="false" showErrorMessage="false" showInputMessage="false" sqref="F6:H65" type="decimal">
      <formula1>0</formula1>
      <formula2>10</formula2>
    </dataValidation>
    <dataValidation allowBlank="true" error="Enter a score from 0 to 5." errorStyle="stop" errorTitle="Score out of range" operator="between" showDropDown="false" showErrorMessage="false" showInputMessage="false" sqref="I6:J65" type="decimal">
      <formula1>0</formula1>
      <formula2>5</formula2>
    </dataValidation>
    <dataValidation allowBlank="true" error="Pick a value from the list." errorStyle="stop" errorTitle="Invalid entry" operator="between" showDropDown="false" showErrorMessage="false" showInputMessage="false" sqref="P6:P65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8"/>
    <col collapsed="false" customWidth="true" hidden="false" outlineLevel="0" max="10" min="8" style="0" width="12"/>
    <col collapsed="false" customWidth="true" hidden="false" outlineLevel="0" max="12" min="11" style="0" width="9"/>
    <col collapsed="false" customWidth="true" hidden="false" outlineLevel="0" max="14" min="13" style="0" width="34"/>
    <col collapsed="false" customWidth="true" hidden="false" outlineLevel="0" max="15" min="15" style="0" width="26"/>
  </cols>
  <sheetData>
    <row r="1" customFormat="false" ht="36" hidden="false" customHeight="true" outlineLevel="0" collapsed="false">
      <c r="A1" s="7" t="s">
        <v>28</v>
      </c>
      <c r="B1" s="7" t="s">
        <v>256</v>
      </c>
      <c r="C1" s="7" t="s">
        <v>274</v>
      </c>
      <c r="D1" s="7" t="s">
        <v>275</v>
      </c>
      <c r="E1" s="7" t="s">
        <v>276</v>
      </c>
      <c r="F1" s="7" t="s">
        <v>277</v>
      </c>
      <c r="G1" s="7" t="s">
        <v>278</v>
      </c>
      <c r="H1" s="7" t="s">
        <v>279</v>
      </c>
      <c r="I1" s="7" t="s">
        <v>280</v>
      </c>
      <c r="J1" s="7" t="s">
        <v>281</v>
      </c>
      <c r="K1" s="7" t="s">
        <v>282</v>
      </c>
      <c r="L1" s="7" t="s">
        <v>283</v>
      </c>
      <c r="M1" s="7" t="s">
        <v>284</v>
      </c>
      <c r="N1" s="7" t="s">
        <v>285</v>
      </c>
      <c r="O1" s="7" t="s">
        <v>286</v>
      </c>
    </row>
    <row r="2" customFormat="false" ht="23.85" hidden="false" customHeight="false" outlineLevel="0" collapsed="false">
      <c r="A2" s="18" t="n">
        <v>1</v>
      </c>
      <c r="B2" s="18" t="str">
        <f aca="false">IF('Inspection Log'!B3="","",'Inspection Log'!B3)</f>
        <v>Beijing Chengdong International Modular Housing Corporation</v>
      </c>
      <c r="C2" s="18" t="str">
        <f aca="false">IF('Inspection Log'!L3="","",'Inspection Log'!L3)</f>
        <v/>
      </c>
      <c r="D2" s="18" t="str">
        <f aca="false">IF('Inspection Log'!AO3="","",'Inspection Log'!AO3)</f>
        <v/>
      </c>
      <c r="E2" s="18" t="str">
        <f aca="false">IF('Inspection Log'!V3="","",'Inspection Log'!V3)</f>
        <v/>
      </c>
      <c r="F2" s="18" t="str">
        <f aca="false">IF(AND('Inspection Log'!X3="",'Inspection Log'!Y3=""),"","On-site: "&amp;IF('Inspection Log'!X3="","NOT SHOWN",'Inspection Log'!X3)&amp;" / 3rd-party: "&amp;IF('Inspection Log'!Y3="","NOT SHOWN",'Inspection Log'!Y3))</f>
        <v/>
      </c>
      <c r="G2" s="18" t="str">
        <f aca="false">IF('Inspection Log'!AF3="","",'Inspection Log'!AF3)</f>
        <v/>
      </c>
      <c r="H2" s="18" t="str">
        <f aca="false">IF('Inspection Log'!AM3="","",'Inspection Log'!AM3)</f>
        <v/>
      </c>
      <c r="I2" s="18" t="str">
        <f aca="false">IF('Inspection Log'!N3="","",'Inspection Log'!N3)</f>
        <v/>
      </c>
      <c r="J2" s="18" t="str">
        <f aca="false">IF('Inspection Log'!AT3="","",'Inspection Log'!AT3)</f>
        <v/>
      </c>
      <c r="K2" s="18" t="str">
        <f aca="false">Scoring!K6</f>
        <v/>
      </c>
      <c r="L2" s="18" t="str">
        <f aca="false">Scoring!Q6</f>
        <v/>
      </c>
      <c r="M2" s="19" t="str">
        <f aca="false">IF('Inspection Log'!D3="","",HYPERLINK('Inspection Log'!D3,'Inspection Log'!D3))</f>
        <v>https://cdph.en.alibaba.com/</v>
      </c>
      <c r="N2" s="19" t="str">
        <f aca="false">IF('Inspection Log'!AW3="","",HYPERLINK('Inspection Log'!AW3,'Inspection Log'!AW3))</f>
        <v/>
      </c>
      <c r="O2" s="19" t="str">
        <f aca="false">IF('Inspection Log'!AY3="","",HYPERLINK('Inspection Log'!AY3,'Inspection Log'!AY3))</f>
        <v/>
      </c>
    </row>
    <row r="3" customFormat="false" ht="15" hidden="false" customHeight="false" outlineLevel="0" collapsed="false">
      <c r="A3" s="18" t="n">
        <v>2</v>
      </c>
      <c r="B3" s="18" t="str">
        <f aca="false">IF('Inspection Log'!B4="","",'Inspection Log'!B4)</f>
        <v>Ningbo Deepblue Smarthouse Co., Ltd.</v>
      </c>
      <c r="C3" s="18" t="str">
        <f aca="false">IF('Inspection Log'!L4="","",'Inspection Log'!L4)</f>
        <v/>
      </c>
      <c r="D3" s="18" t="str">
        <f aca="false">IF('Inspection Log'!AO4="","",'Inspection Log'!AO4)</f>
        <v/>
      </c>
      <c r="E3" s="18" t="str">
        <f aca="false">IF('Inspection Log'!V4="","",'Inspection Log'!V4)</f>
        <v/>
      </c>
      <c r="F3" s="18" t="str">
        <f aca="false">IF(AND('Inspection Log'!X4="",'Inspection Log'!Y4=""),"","On-site: "&amp;IF('Inspection Log'!X4="","NOT SHOWN",'Inspection Log'!X4)&amp;" / 3rd-party: "&amp;IF('Inspection Log'!Y4="","NOT SHOWN",'Inspection Log'!Y4))</f>
        <v/>
      </c>
      <c r="G3" s="18" t="str">
        <f aca="false">IF('Inspection Log'!AF4="","",'Inspection Log'!AF4)</f>
        <v/>
      </c>
      <c r="H3" s="18" t="str">
        <f aca="false">IF('Inspection Log'!AM4="","",'Inspection Log'!AM4)</f>
        <v/>
      </c>
      <c r="I3" s="18" t="str">
        <f aca="false">IF('Inspection Log'!N4="","",'Inspection Log'!N4)</f>
        <v/>
      </c>
      <c r="J3" s="18" t="str">
        <f aca="false">IF('Inspection Log'!AT4="","",'Inspection Log'!AT4)</f>
        <v/>
      </c>
      <c r="K3" s="18" t="str">
        <f aca="false">Scoring!K7</f>
        <v/>
      </c>
      <c r="L3" s="18" t="str">
        <f aca="false">Scoring!Q7</f>
        <v/>
      </c>
      <c r="M3" s="19" t="str">
        <f aca="false">IF('Inspection Log'!D4="","",HYPERLINK('Inspection Log'!D4,'Inspection Log'!D4))</f>
        <v>https://deepblue.en.alibaba.com/</v>
      </c>
      <c r="N3" s="19" t="str">
        <f aca="false">IF('Inspection Log'!AW4="","",HYPERLINK('Inspection Log'!AW4,'Inspection Log'!AW4))</f>
        <v/>
      </c>
      <c r="O3" s="19" t="str">
        <f aca="false">IF('Inspection Log'!AY4="","",HYPERLINK('Inspection Log'!AY4,'Inspection Log'!AY4))</f>
        <v/>
      </c>
    </row>
    <row r="4" customFormat="false" ht="23.85" hidden="false" customHeight="false" outlineLevel="0" collapsed="false">
      <c r="A4" s="18" t="n">
        <v>3</v>
      </c>
      <c r="B4" s="18" t="str">
        <f aca="false">IF('Inspection Log'!B5="","",'Inspection Log'!B5)</f>
        <v>Hebei Weizhengheng Modular House Technology Co., Ltd.</v>
      </c>
      <c r="C4" s="18" t="str">
        <f aca="false">IF('Inspection Log'!L5="","",'Inspection Log'!L5)</f>
        <v/>
      </c>
      <c r="D4" s="18" t="str">
        <f aca="false">IF('Inspection Log'!AO5="","",'Inspection Log'!AO5)</f>
        <v/>
      </c>
      <c r="E4" s="18" t="str">
        <f aca="false">IF('Inspection Log'!V5="","",'Inspection Log'!V5)</f>
        <v/>
      </c>
      <c r="F4" s="18" t="str">
        <f aca="false">IF(AND('Inspection Log'!X5="",'Inspection Log'!Y5=""),"","On-site: "&amp;IF('Inspection Log'!X5="","NOT SHOWN",'Inspection Log'!X5)&amp;" / 3rd-party: "&amp;IF('Inspection Log'!Y5="","NOT SHOWN",'Inspection Log'!Y5))</f>
        <v/>
      </c>
      <c r="G4" s="18" t="str">
        <f aca="false">IF('Inspection Log'!AF5="","",'Inspection Log'!AF5)</f>
        <v/>
      </c>
      <c r="H4" s="18" t="str">
        <f aca="false">IF('Inspection Log'!AM5="","",'Inspection Log'!AM5)</f>
        <v/>
      </c>
      <c r="I4" s="18" t="str">
        <f aca="false">IF('Inspection Log'!N5="","",'Inspection Log'!N5)</f>
        <v/>
      </c>
      <c r="J4" s="18" t="str">
        <f aca="false">IF('Inspection Log'!AT5="","",'Inspection Log'!AT5)</f>
        <v/>
      </c>
      <c r="K4" s="18" t="str">
        <f aca="false">Scoring!K8</f>
        <v/>
      </c>
      <c r="L4" s="18" t="str">
        <f aca="false">Scoring!Q8</f>
        <v/>
      </c>
      <c r="M4" s="19" t="str">
        <f aca="false">IF('Inspection Log'!D5="","",HYPERLINK('Inspection Log'!D5,'Inspection Log'!D5))</f>
        <v>https://wzhhouse.en.alibaba.com/</v>
      </c>
      <c r="N4" s="19" t="str">
        <f aca="false">IF('Inspection Log'!AW5="","",HYPERLINK('Inspection Log'!AW5,'Inspection Log'!AW5))</f>
        <v/>
      </c>
      <c r="O4" s="19" t="str">
        <f aca="false">IF('Inspection Log'!AY5="","",HYPERLINK('Inspection Log'!AY5,'Inspection Log'!AY5))</f>
        <v/>
      </c>
    </row>
    <row r="5" customFormat="false" ht="15" hidden="false" customHeight="false" outlineLevel="0" collapsed="false">
      <c r="A5" s="18" t="n">
        <v>4</v>
      </c>
      <c r="B5" s="18" t="str">
        <f aca="false">IF('Inspection Log'!B6="","",'Inspection Log'!B6)</f>
        <v>Zhejiang Putian Integrated Housing Co., Ltd.</v>
      </c>
      <c r="C5" s="18" t="str">
        <f aca="false">IF('Inspection Log'!L6="","",'Inspection Log'!L6)</f>
        <v/>
      </c>
      <c r="D5" s="18" t="str">
        <f aca="false">IF('Inspection Log'!AO6="","",'Inspection Log'!AO6)</f>
        <v/>
      </c>
      <c r="E5" s="18" t="str">
        <f aca="false">IF('Inspection Log'!V6="","",'Inspection Log'!V6)</f>
        <v/>
      </c>
      <c r="F5" s="18" t="str">
        <f aca="false">IF(AND('Inspection Log'!X6="",'Inspection Log'!Y6=""),"","On-site: "&amp;IF('Inspection Log'!X6="","NOT SHOWN",'Inspection Log'!X6)&amp;" / 3rd-party: "&amp;IF('Inspection Log'!Y6="","NOT SHOWN",'Inspection Log'!Y6))</f>
        <v/>
      </c>
      <c r="G5" s="18" t="str">
        <f aca="false">IF('Inspection Log'!AF6="","",'Inspection Log'!AF6)</f>
        <v/>
      </c>
      <c r="H5" s="18" t="str">
        <f aca="false">IF('Inspection Log'!AM6="","",'Inspection Log'!AM6)</f>
        <v/>
      </c>
      <c r="I5" s="18" t="str">
        <f aca="false">IF('Inspection Log'!N6="","",'Inspection Log'!N6)</f>
        <v/>
      </c>
      <c r="J5" s="18" t="str">
        <f aca="false">IF('Inspection Log'!AT6="","",'Inspection Log'!AT6)</f>
        <v/>
      </c>
      <c r="K5" s="18" t="str">
        <f aca="false">Scoring!K9</f>
        <v/>
      </c>
      <c r="L5" s="18" t="str">
        <f aca="false">Scoring!Q9</f>
        <v/>
      </c>
      <c r="M5" s="19" t="str">
        <f aca="false">IF('Inspection Log'!D6="","",HYPERLINK('Inspection Log'!D6,'Inspection Log'!D6))</f>
        <v>https://putiangroup.en.alibaba.com/</v>
      </c>
      <c r="N5" s="19" t="str">
        <f aca="false">IF('Inspection Log'!AW6="","",HYPERLINK('Inspection Log'!AW6,'Inspection Log'!AW6))</f>
        <v/>
      </c>
      <c r="O5" s="19" t="str">
        <f aca="false">IF('Inspection Log'!AY6="","",HYPERLINK('Inspection Log'!AY6,'Inspection Log'!AY6))</f>
        <v/>
      </c>
    </row>
    <row r="6" customFormat="false" ht="15" hidden="false" customHeight="false" outlineLevel="0" collapsed="false">
      <c r="A6" s="18" t="n">
        <v>5</v>
      </c>
      <c r="B6" s="18" t="str">
        <f aca="false">IF('Inspection Log'!B7="","",'Inspection Log'!B7)</f>
        <v>Zhuhai Remac Space Co., Ltd.</v>
      </c>
      <c r="C6" s="18" t="str">
        <f aca="false">IF('Inspection Log'!L7="","",'Inspection Log'!L7)</f>
        <v/>
      </c>
      <c r="D6" s="18" t="str">
        <f aca="false">IF('Inspection Log'!AO7="","",'Inspection Log'!AO7)</f>
        <v/>
      </c>
      <c r="E6" s="18" t="str">
        <f aca="false">IF('Inspection Log'!V7="","",'Inspection Log'!V7)</f>
        <v/>
      </c>
      <c r="F6" s="18" t="str">
        <f aca="false">IF(AND('Inspection Log'!X7="",'Inspection Log'!Y7=""),"","On-site: "&amp;IF('Inspection Log'!X7="","NOT SHOWN",'Inspection Log'!X7)&amp;" / 3rd-party: "&amp;IF('Inspection Log'!Y7="","NOT SHOWN",'Inspection Log'!Y7))</f>
        <v/>
      </c>
      <c r="G6" s="18" t="str">
        <f aca="false">IF('Inspection Log'!AF7="","",'Inspection Log'!AF7)</f>
        <v/>
      </c>
      <c r="H6" s="18" t="str">
        <f aca="false">IF('Inspection Log'!AM7="","",'Inspection Log'!AM7)</f>
        <v/>
      </c>
      <c r="I6" s="18" t="str">
        <f aca="false">IF('Inspection Log'!N7="","",'Inspection Log'!N7)</f>
        <v/>
      </c>
      <c r="J6" s="18" t="str">
        <f aca="false">IF('Inspection Log'!AT7="","",'Inspection Log'!AT7)</f>
        <v/>
      </c>
      <c r="K6" s="18" t="str">
        <f aca="false">Scoring!K10</f>
        <v/>
      </c>
      <c r="L6" s="18" t="str">
        <f aca="false">Scoring!Q10</f>
        <v/>
      </c>
      <c r="M6" s="19" t="str">
        <f aca="false">IF('Inspection Log'!D7="","",HYPERLINK('Inspection Log'!D7,'Inspection Log'!D7))</f>
        <v>https://remacspace.en.alibaba.com/</v>
      </c>
      <c r="N6" s="19" t="str">
        <f aca="false">IF('Inspection Log'!AW7="","",HYPERLINK('Inspection Log'!AW7,'Inspection Log'!AW7))</f>
        <v/>
      </c>
      <c r="O6" s="19" t="str">
        <f aca="false">IF('Inspection Log'!AY7="","",HYPERLINK('Inspection Log'!AY7,'Inspection Log'!AY7))</f>
        <v/>
      </c>
    </row>
    <row r="7" customFormat="false" ht="23.85" hidden="false" customHeight="false" outlineLevel="0" collapsed="false">
      <c r="A7" s="18" t="n">
        <v>6</v>
      </c>
      <c r="B7" s="18" t="str">
        <f aca="false">IF('Inspection Log'!B8="","",'Inspection Log'!B8)</f>
        <v>Guangdong Zhonghuilvjian Moving House Technology Co., Ltd.</v>
      </c>
      <c r="C7" s="18" t="str">
        <f aca="false">IF('Inspection Log'!L8="","",'Inspection Log'!L8)</f>
        <v/>
      </c>
      <c r="D7" s="18" t="str">
        <f aca="false">IF('Inspection Log'!AO8="","",'Inspection Log'!AO8)</f>
        <v/>
      </c>
      <c r="E7" s="18" t="str">
        <f aca="false">IF('Inspection Log'!V8="","",'Inspection Log'!V8)</f>
        <v/>
      </c>
      <c r="F7" s="18" t="str">
        <f aca="false">IF(AND('Inspection Log'!X8="",'Inspection Log'!Y8=""),"","On-site: "&amp;IF('Inspection Log'!X8="","NOT SHOWN",'Inspection Log'!X8)&amp;" / 3rd-party: "&amp;IF('Inspection Log'!Y8="","NOT SHOWN",'Inspection Log'!Y8))</f>
        <v/>
      </c>
      <c r="G7" s="18" t="str">
        <f aca="false">IF('Inspection Log'!AF8="","",'Inspection Log'!AF8)</f>
        <v/>
      </c>
      <c r="H7" s="18" t="str">
        <f aca="false">IF('Inspection Log'!AM8="","",'Inspection Log'!AM8)</f>
        <v/>
      </c>
      <c r="I7" s="18" t="str">
        <f aca="false">IF('Inspection Log'!N8="","",'Inspection Log'!N8)</f>
        <v/>
      </c>
      <c r="J7" s="18" t="str">
        <f aca="false">IF('Inspection Log'!AT8="","",'Inspection Log'!AT8)</f>
        <v/>
      </c>
      <c r="K7" s="18" t="str">
        <f aca="false">Scoring!K11</f>
        <v/>
      </c>
      <c r="L7" s="18" t="str">
        <f aca="false">Scoring!Q11</f>
        <v/>
      </c>
      <c r="M7" s="19" t="str">
        <f aca="false">IF('Inspection Log'!D8="","",HYPERLINK('Inspection Log'!D8,'Inspection Log'!D8))</f>
        <v>https://cgcontainer.en.alibaba.com/</v>
      </c>
      <c r="N7" s="19" t="str">
        <f aca="false">IF('Inspection Log'!AW8="","",HYPERLINK('Inspection Log'!AW8,'Inspection Log'!AW8))</f>
        <v/>
      </c>
      <c r="O7" s="19" t="str">
        <f aca="false">IF('Inspection Log'!AY8="","",HYPERLINK('Inspection Log'!AY8,'Inspection Log'!AY8))</f>
        <v/>
      </c>
    </row>
    <row r="8" customFormat="false" ht="15" hidden="false" customHeight="false" outlineLevel="0" collapsed="false">
      <c r="A8" s="18" t="n">
        <v>7</v>
      </c>
      <c r="B8" s="18" t="str">
        <f aca="false">IF('Inspection Log'!B9="","",'Inspection Log'!B9)</f>
        <v>Shandong Mars Cabin Technology Co., Ltd.</v>
      </c>
      <c r="C8" s="18" t="str">
        <f aca="false">IF('Inspection Log'!L9="","",'Inspection Log'!L9)</f>
        <v/>
      </c>
      <c r="D8" s="18" t="str">
        <f aca="false">IF('Inspection Log'!AO9="","",'Inspection Log'!AO9)</f>
        <v/>
      </c>
      <c r="E8" s="18" t="str">
        <f aca="false">IF('Inspection Log'!V9="","",'Inspection Log'!V9)</f>
        <v/>
      </c>
      <c r="F8" s="18" t="str">
        <f aca="false">IF(AND('Inspection Log'!X9="",'Inspection Log'!Y9=""),"","On-site: "&amp;IF('Inspection Log'!X9="","NOT SHOWN",'Inspection Log'!X9)&amp;" / 3rd-party: "&amp;IF('Inspection Log'!Y9="","NOT SHOWN",'Inspection Log'!Y9))</f>
        <v/>
      </c>
      <c r="G8" s="18" t="str">
        <f aca="false">IF('Inspection Log'!AF9="","",'Inspection Log'!AF9)</f>
        <v/>
      </c>
      <c r="H8" s="18" t="str">
        <f aca="false">IF('Inspection Log'!AM9="","",'Inspection Log'!AM9)</f>
        <v/>
      </c>
      <c r="I8" s="18" t="str">
        <f aca="false">IF('Inspection Log'!N9="","",'Inspection Log'!N9)</f>
        <v/>
      </c>
      <c r="J8" s="18" t="str">
        <f aca="false">IF('Inspection Log'!AT9="","",'Inspection Log'!AT9)</f>
        <v/>
      </c>
      <c r="K8" s="18" t="str">
        <f aca="false">Scoring!K12</f>
        <v/>
      </c>
      <c r="L8" s="18" t="str">
        <f aca="false">Scoring!Q12</f>
        <v/>
      </c>
      <c r="M8" s="19" t="str">
        <f aca="false">IF('Inspection Log'!D9="","",HYPERLINK('Inspection Log'!D9,'Inspection Log'!D9))</f>
        <v>https://marscastle.en.alibaba.com/</v>
      </c>
      <c r="N8" s="19" t="str">
        <f aca="false">IF('Inspection Log'!AW9="","",HYPERLINK('Inspection Log'!AW9,'Inspection Log'!AW9))</f>
        <v/>
      </c>
      <c r="O8" s="19" t="str">
        <f aca="false">IF('Inspection Log'!AY9="","",HYPERLINK('Inspection Log'!AY9,'Inspection Log'!AY9))</f>
        <v/>
      </c>
    </row>
    <row r="9" customFormat="false" ht="23.85" hidden="false" customHeight="false" outlineLevel="0" collapsed="false">
      <c r="A9" s="18" t="n">
        <v>8</v>
      </c>
      <c r="B9" s="18" t="str">
        <f aca="false">IF('Inspection Log'!B10="","",'Inspection Log'!B10)</f>
        <v>Guangzhou Moneybox Steel Structure Engineering Co., Ltd.</v>
      </c>
      <c r="C9" s="18" t="str">
        <f aca="false">IF('Inspection Log'!L10="","",'Inspection Log'!L10)</f>
        <v/>
      </c>
      <c r="D9" s="18" t="str">
        <f aca="false">IF('Inspection Log'!AO10="","",'Inspection Log'!AO10)</f>
        <v/>
      </c>
      <c r="E9" s="18" t="str">
        <f aca="false">IF('Inspection Log'!V10="","",'Inspection Log'!V10)</f>
        <v/>
      </c>
      <c r="F9" s="18" t="str">
        <f aca="false">IF(AND('Inspection Log'!X10="",'Inspection Log'!Y10=""),"","On-site: "&amp;IF('Inspection Log'!X10="","NOT SHOWN",'Inspection Log'!X10)&amp;" / 3rd-party: "&amp;IF('Inspection Log'!Y10="","NOT SHOWN",'Inspection Log'!Y10))</f>
        <v/>
      </c>
      <c r="G9" s="18" t="str">
        <f aca="false">IF('Inspection Log'!AF10="","",'Inspection Log'!AF10)</f>
        <v/>
      </c>
      <c r="H9" s="18" t="str">
        <f aca="false">IF('Inspection Log'!AM10="","",'Inspection Log'!AM10)</f>
        <v/>
      </c>
      <c r="I9" s="18" t="str">
        <f aca="false">IF('Inspection Log'!N10="","",'Inspection Log'!N10)</f>
        <v/>
      </c>
      <c r="J9" s="18" t="str">
        <f aca="false">IF('Inspection Log'!AT10="","",'Inspection Log'!AT10)</f>
        <v/>
      </c>
      <c r="K9" s="18" t="str">
        <f aca="false">Scoring!K13</f>
        <v/>
      </c>
      <c r="L9" s="18" t="str">
        <f aca="false">Scoring!Q13</f>
        <v/>
      </c>
      <c r="M9" s="19" t="str">
        <f aca="false">IF('Inspection Log'!D10="","",HYPERLINK('Inspection Log'!D10,'Inspection Log'!D10))</f>
        <v>https://moneyboxcontainer.en.alibaba.com/</v>
      </c>
      <c r="N9" s="19" t="str">
        <f aca="false">IF('Inspection Log'!AW10="","",HYPERLINK('Inspection Log'!AW10,'Inspection Log'!AW10))</f>
        <v/>
      </c>
      <c r="O9" s="19" t="str">
        <f aca="false">IF('Inspection Log'!AY10="","",HYPERLINK('Inspection Log'!AY10,'Inspection Log'!AY10))</f>
        <v/>
      </c>
    </row>
    <row r="10" customFormat="false" ht="15" hidden="false" customHeight="false" outlineLevel="0" collapsed="false">
      <c r="A10" s="18" t="n">
        <v>9</v>
      </c>
      <c r="B10" s="18" t="str">
        <f aca="false">IF('Inspection Log'!B11="","",'Inspection Log'!B11)</f>
        <v>Foshan The Box Modular House Co., Ltd</v>
      </c>
      <c r="C10" s="18" t="str">
        <f aca="false">IF('Inspection Log'!L11="","",'Inspection Log'!L11)</f>
        <v/>
      </c>
      <c r="D10" s="18" t="str">
        <f aca="false">IF('Inspection Log'!AO11="","",'Inspection Log'!AO11)</f>
        <v/>
      </c>
      <c r="E10" s="18" t="str">
        <f aca="false">IF('Inspection Log'!V11="","",'Inspection Log'!V11)</f>
        <v/>
      </c>
      <c r="F10" s="18" t="str">
        <f aca="false">IF(AND('Inspection Log'!X11="",'Inspection Log'!Y11=""),"","On-site: "&amp;IF('Inspection Log'!X11="","NOT SHOWN",'Inspection Log'!X11)&amp;" / 3rd-party: "&amp;IF('Inspection Log'!Y11="","NOT SHOWN",'Inspection Log'!Y11))</f>
        <v/>
      </c>
      <c r="G10" s="18" t="str">
        <f aca="false">IF('Inspection Log'!AF11="","",'Inspection Log'!AF11)</f>
        <v/>
      </c>
      <c r="H10" s="18" t="str">
        <f aca="false">IF('Inspection Log'!AM11="","",'Inspection Log'!AM11)</f>
        <v/>
      </c>
      <c r="I10" s="18" t="str">
        <f aca="false">IF('Inspection Log'!N11="","",'Inspection Log'!N11)</f>
        <v/>
      </c>
      <c r="J10" s="18" t="str">
        <f aca="false">IF('Inspection Log'!AT11="","",'Inspection Log'!AT11)</f>
        <v/>
      </c>
      <c r="K10" s="18" t="str">
        <f aca="false">Scoring!K14</f>
        <v/>
      </c>
      <c r="L10" s="18" t="str">
        <f aca="false">Scoring!Q14</f>
        <v/>
      </c>
      <c r="M10" s="19" t="str">
        <f aca="false">IF('Inspection Log'!D11="","",HYPERLINK('Inspection Log'!D11,'Inspection Log'!D11))</f>
        <v>https://thebox.en.alibaba.com/</v>
      </c>
      <c r="N10" s="19" t="str">
        <f aca="false">IF('Inspection Log'!AW11="","",HYPERLINK('Inspection Log'!AW11,'Inspection Log'!AW11))</f>
        <v/>
      </c>
      <c r="O10" s="19" t="str">
        <f aca="false">IF('Inspection Log'!AY11="","",HYPERLINK('Inspection Log'!AY11,'Inspection Log'!AY11))</f>
        <v/>
      </c>
    </row>
    <row r="11" customFormat="false" ht="15" hidden="false" customHeight="false" outlineLevel="0" collapsed="false">
      <c r="A11" s="18" t="n">
        <v>10</v>
      </c>
      <c r="B11" s="18" t="str">
        <f aca="false">IF('Inspection Log'!B12="","",'Inspection Log'!B12)</f>
        <v>Fucheng Huaying Integrated Housing Co., Ltd.</v>
      </c>
      <c r="C11" s="18" t="str">
        <f aca="false">IF('Inspection Log'!L12="","",'Inspection Log'!L12)</f>
        <v/>
      </c>
      <c r="D11" s="18" t="str">
        <f aca="false">IF('Inspection Log'!AO12="","",'Inspection Log'!AO12)</f>
        <v/>
      </c>
      <c r="E11" s="18" t="str">
        <f aca="false">IF('Inspection Log'!V12="","",'Inspection Log'!V12)</f>
        <v/>
      </c>
      <c r="F11" s="18" t="str">
        <f aca="false">IF(AND('Inspection Log'!X12="",'Inspection Log'!Y12=""),"","On-site: "&amp;IF('Inspection Log'!X12="","NOT SHOWN",'Inspection Log'!X12)&amp;" / 3rd-party: "&amp;IF('Inspection Log'!Y12="","NOT SHOWN",'Inspection Log'!Y12))</f>
        <v/>
      </c>
      <c r="G11" s="18" t="str">
        <f aca="false">IF('Inspection Log'!AF12="","",'Inspection Log'!AF12)</f>
        <v/>
      </c>
      <c r="H11" s="18" t="str">
        <f aca="false">IF('Inspection Log'!AM12="","",'Inspection Log'!AM12)</f>
        <v/>
      </c>
      <c r="I11" s="18" t="str">
        <f aca="false">IF('Inspection Log'!N12="","",'Inspection Log'!N12)</f>
        <v/>
      </c>
      <c r="J11" s="18" t="str">
        <f aca="false">IF('Inspection Log'!AT12="","",'Inspection Log'!AT12)</f>
        <v/>
      </c>
      <c r="K11" s="18" t="str">
        <f aca="false">Scoring!K15</f>
        <v/>
      </c>
      <c r="L11" s="18" t="str">
        <f aca="false">Scoring!Q15</f>
        <v/>
      </c>
      <c r="M11" s="19" t="str">
        <f aca="false">IF('Inspection Log'!D12="","",HYPERLINK('Inspection Log'!D12,'Inspection Log'!D12))</f>
        <v>https://fchuaying.en.alibaba.com/</v>
      </c>
      <c r="N11" s="19" t="str">
        <f aca="false">IF('Inspection Log'!AW12="","",HYPERLINK('Inspection Log'!AW12,'Inspection Log'!AW12))</f>
        <v/>
      </c>
      <c r="O11" s="19" t="str">
        <f aca="false">IF('Inspection Log'!AY12="","",HYPERLINK('Inspection Log'!AY12,'Inspection Log'!AY12))</f>
        <v/>
      </c>
    </row>
    <row r="12" customFormat="false" ht="15" hidden="false" customHeight="false" outlineLevel="0" collapsed="false">
      <c r="A12" s="18" t="n">
        <v>11</v>
      </c>
      <c r="B12" s="18" t="str">
        <f aca="false">IF('Inspection Log'!B13="","",'Inspection Log'!B13)</f>
        <v>Hebei Shengyuan Tongda Modular House Co., Ltd.</v>
      </c>
      <c r="C12" s="18" t="str">
        <f aca="false">IF('Inspection Log'!L13="","",'Inspection Log'!L13)</f>
        <v/>
      </c>
      <c r="D12" s="18" t="str">
        <f aca="false">IF('Inspection Log'!AO13="","",'Inspection Log'!AO13)</f>
        <v/>
      </c>
      <c r="E12" s="18" t="str">
        <f aca="false">IF('Inspection Log'!V13="","",'Inspection Log'!V13)</f>
        <v/>
      </c>
      <c r="F12" s="18" t="str">
        <f aca="false">IF(AND('Inspection Log'!X13="",'Inspection Log'!Y13=""),"","On-site: "&amp;IF('Inspection Log'!X13="","NOT SHOWN",'Inspection Log'!X13)&amp;" / 3rd-party: "&amp;IF('Inspection Log'!Y13="","NOT SHOWN",'Inspection Log'!Y13))</f>
        <v/>
      </c>
      <c r="G12" s="18" t="str">
        <f aca="false">IF('Inspection Log'!AF13="","",'Inspection Log'!AF13)</f>
        <v/>
      </c>
      <c r="H12" s="18" t="str">
        <f aca="false">IF('Inspection Log'!AM13="","",'Inspection Log'!AM13)</f>
        <v/>
      </c>
      <c r="I12" s="18" t="str">
        <f aca="false">IF('Inspection Log'!N13="","",'Inspection Log'!N13)</f>
        <v/>
      </c>
      <c r="J12" s="18" t="str">
        <f aca="false">IF('Inspection Log'!AT13="","",'Inspection Log'!AT13)</f>
        <v/>
      </c>
      <c r="K12" s="18" t="str">
        <f aca="false">Scoring!K16</f>
        <v/>
      </c>
      <c r="L12" s="18" t="str">
        <f aca="false">Scoring!Q16</f>
        <v/>
      </c>
      <c r="M12" s="19" t="str">
        <f aca="false">IF('Inspection Log'!D13="","",HYPERLINK('Inspection Log'!D13,'Inspection Log'!D13))</f>
        <v>https://shengyuantongda.en.alibaba.com/</v>
      </c>
      <c r="N12" s="19" t="str">
        <f aca="false">IF('Inspection Log'!AW13="","",HYPERLINK('Inspection Log'!AW13,'Inspection Log'!AW13))</f>
        <v/>
      </c>
      <c r="O12" s="19" t="str">
        <f aca="false">IF('Inspection Log'!AY13="","",HYPERLINK('Inspection Log'!AY13,'Inspection Log'!AY13))</f>
        <v/>
      </c>
    </row>
    <row r="13" customFormat="false" ht="15" hidden="false" customHeight="false" outlineLevel="0" collapsed="false">
      <c r="A13" s="18" t="n">
        <v>12</v>
      </c>
      <c r="B13" s="18" t="str">
        <f aca="false">IF('Inspection Log'!B14="","",'Inspection Log'!B14)</f>
        <v>Heshi (Hebei) Integrated Housing Co., Ltd.</v>
      </c>
      <c r="C13" s="18" t="str">
        <f aca="false">IF('Inspection Log'!L14="","",'Inspection Log'!L14)</f>
        <v/>
      </c>
      <c r="D13" s="18" t="str">
        <f aca="false">IF('Inspection Log'!AO14="","",'Inspection Log'!AO14)</f>
        <v/>
      </c>
      <c r="E13" s="18" t="str">
        <f aca="false">IF('Inspection Log'!V14="","",'Inspection Log'!V14)</f>
        <v/>
      </c>
      <c r="F13" s="18" t="str">
        <f aca="false">IF(AND('Inspection Log'!X14="",'Inspection Log'!Y14=""),"","On-site: "&amp;IF('Inspection Log'!X14="","NOT SHOWN",'Inspection Log'!X14)&amp;" / 3rd-party: "&amp;IF('Inspection Log'!Y14="","NOT SHOWN",'Inspection Log'!Y14))</f>
        <v/>
      </c>
      <c r="G13" s="18" t="str">
        <f aca="false">IF('Inspection Log'!AF14="","",'Inspection Log'!AF14)</f>
        <v/>
      </c>
      <c r="H13" s="18" t="str">
        <f aca="false">IF('Inspection Log'!AM14="","",'Inspection Log'!AM14)</f>
        <v/>
      </c>
      <c r="I13" s="18" t="str">
        <f aca="false">IF('Inspection Log'!N14="","",'Inspection Log'!N14)</f>
        <v/>
      </c>
      <c r="J13" s="18" t="str">
        <f aca="false">IF('Inspection Log'!AT14="","",'Inspection Log'!AT14)</f>
        <v/>
      </c>
      <c r="K13" s="18" t="str">
        <f aca="false">Scoring!K17</f>
        <v/>
      </c>
      <c r="L13" s="18" t="str">
        <f aca="false">Scoring!Q17</f>
        <v/>
      </c>
      <c r="M13" s="19" t="str">
        <f aca="false">IF('Inspection Log'!D14="","",HYPERLINK('Inspection Log'!D14,'Inspection Log'!D14))</f>
        <v>https://heshihouse.en.alibaba.com/</v>
      </c>
      <c r="N13" s="19" t="str">
        <f aca="false">IF('Inspection Log'!AW14="","",HYPERLINK('Inspection Log'!AW14,'Inspection Log'!AW14))</f>
        <v/>
      </c>
      <c r="O13" s="19" t="str">
        <f aca="false">IF('Inspection Log'!AY14="","",HYPERLINK('Inspection Log'!AY14,'Inspection Log'!AY14))</f>
        <v/>
      </c>
    </row>
    <row r="14" customFormat="false" ht="15" hidden="false" customHeight="false" outlineLevel="0" collapsed="false">
      <c r="A14" s="18" t="n">
        <v>13</v>
      </c>
      <c r="B14" s="18" t="str">
        <f aca="false">IF('Inspection Log'!B15="","",'Inspection Log'!B15)</f>
        <v>Suzhou Zhongnan Steel Structure Co., Ltd.</v>
      </c>
      <c r="C14" s="18" t="str">
        <f aca="false">IF('Inspection Log'!L15="","",'Inspection Log'!L15)</f>
        <v/>
      </c>
      <c r="D14" s="18" t="str">
        <f aca="false">IF('Inspection Log'!AO15="","",'Inspection Log'!AO15)</f>
        <v/>
      </c>
      <c r="E14" s="18" t="str">
        <f aca="false">IF('Inspection Log'!V15="","",'Inspection Log'!V15)</f>
        <v/>
      </c>
      <c r="F14" s="18" t="str">
        <f aca="false">IF(AND('Inspection Log'!X15="",'Inspection Log'!Y15=""),"","On-site: "&amp;IF('Inspection Log'!X15="","NOT SHOWN",'Inspection Log'!X15)&amp;" / 3rd-party: "&amp;IF('Inspection Log'!Y15="","NOT SHOWN",'Inspection Log'!Y15))</f>
        <v/>
      </c>
      <c r="G14" s="18" t="str">
        <f aca="false">IF('Inspection Log'!AF15="","",'Inspection Log'!AF15)</f>
        <v/>
      </c>
      <c r="H14" s="18" t="str">
        <f aca="false">IF('Inspection Log'!AM15="","",'Inspection Log'!AM15)</f>
        <v/>
      </c>
      <c r="I14" s="18" t="str">
        <f aca="false">IF('Inspection Log'!N15="","",'Inspection Log'!N15)</f>
        <v/>
      </c>
      <c r="J14" s="18" t="str">
        <f aca="false">IF('Inspection Log'!AT15="","",'Inspection Log'!AT15)</f>
        <v/>
      </c>
      <c r="K14" s="18" t="str">
        <f aca="false">Scoring!K18</f>
        <v/>
      </c>
      <c r="L14" s="18" t="str">
        <f aca="false">Scoring!Q18</f>
        <v/>
      </c>
      <c r="M14" s="19" t="str">
        <f aca="false">IF('Inspection Log'!D15="","",HYPERLINK('Inspection Log'!D15,'Inspection Log'!D15))</f>
        <v>https://sz-zhongnan.en.alibaba.com/</v>
      </c>
      <c r="N14" s="19" t="str">
        <f aca="false">IF('Inspection Log'!AW15="","",HYPERLINK('Inspection Log'!AW15,'Inspection Log'!AW15))</f>
        <v/>
      </c>
      <c r="O14" s="19" t="str">
        <f aca="false">IF('Inspection Log'!AY15="","",HYPERLINK('Inspection Log'!AY15,'Inspection Log'!AY15))</f>
        <v/>
      </c>
    </row>
    <row r="15" customFormat="false" ht="15" hidden="false" customHeight="false" outlineLevel="0" collapsed="false">
      <c r="A15" s="18" t="n">
        <v>14</v>
      </c>
      <c r="B15" s="18" t="str">
        <f aca="false">IF('Inspection Log'!B16="","",'Inspection Log'!B16)</f>
        <v>Foshan Hege Steel Modular Housing Co., Ltd.</v>
      </c>
      <c r="C15" s="18" t="str">
        <f aca="false">IF('Inspection Log'!L16="","",'Inspection Log'!L16)</f>
        <v/>
      </c>
      <c r="D15" s="18" t="str">
        <f aca="false">IF('Inspection Log'!AO16="","",'Inspection Log'!AO16)</f>
        <v/>
      </c>
      <c r="E15" s="18" t="str">
        <f aca="false">IF('Inspection Log'!V16="","",'Inspection Log'!V16)</f>
        <v/>
      </c>
      <c r="F15" s="18" t="str">
        <f aca="false">IF(AND('Inspection Log'!X16="",'Inspection Log'!Y16=""),"","On-site: "&amp;IF('Inspection Log'!X16="","NOT SHOWN",'Inspection Log'!X16)&amp;" / 3rd-party: "&amp;IF('Inspection Log'!Y16="","NOT SHOWN",'Inspection Log'!Y16))</f>
        <v/>
      </c>
      <c r="G15" s="18" t="str">
        <f aca="false">IF('Inspection Log'!AF16="","",'Inspection Log'!AF16)</f>
        <v/>
      </c>
      <c r="H15" s="18" t="str">
        <f aca="false">IF('Inspection Log'!AM16="","",'Inspection Log'!AM16)</f>
        <v/>
      </c>
      <c r="I15" s="18" t="str">
        <f aca="false">IF('Inspection Log'!N16="","",'Inspection Log'!N16)</f>
        <v/>
      </c>
      <c r="J15" s="18" t="str">
        <f aca="false">IF('Inspection Log'!AT16="","",'Inspection Log'!AT16)</f>
        <v/>
      </c>
      <c r="K15" s="18" t="str">
        <f aca="false">Scoring!K19</f>
        <v/>
      </c>
      <c r="L15" s="18" t="str">
        <f aca="false">Scoring!Q19</f>
        <v/>
      </c>
      <c r="M15" s="19" t="str">
        <f aca="false">IF('Inspection Log'!D16="","",HYPERLINK('Inspection Log'!D16,'Inspection Log'!D16))</f>
        <v>https://hege-prefabhouse.en.alibaba.com/</v>
      </c>
      <c r="N15" s="19" t="str">
        <f aca="false">IF('Inspection Log'!AW16="","",HYPERLINK('Inspection Log'!AW16,'Inspection Log'!AW16))</f>
        <v/>
      </c>
      <c r="O15" s="19" t="str">
        <f aca="false">IF('Inspection Log'!AY16="","",HYPERLINK('Inspection Log'!AY16,'Inspection Log'!AY16))</f>
        <v/>
      </c>
    </row>
    <row r="16" customFormat="false" ht="15" hidden="false" customHeight="false" outlineLevel="0" collapsed="false">
      <c r="A16" s="18" t="n">
        <v>15</v>
      </c>
      <c r="B16" s="18" t="str">
        <f aca="false">IF('Inspection Log'!B17="","",'Inspection Log'!B17)</f>
        <v>Weifang Henglida Steel Structure Co., Ltd.</v>
      </c>
      <c r="C16" s="18" t="str">
        <f aca="false">IF('Inspection Log'!L17="","",'Inspection Log'!L17)</f>
        <v/>
      </c>
      <c r="D16" s="18" t="str">
        <f aca="false">IF('Inspection Log'!AO17="","",'Inspection Log'!AO17)</f>
        <v/>
      </c>
      <c r="E16" s="18" t="str">
        <f aca="false">IF('Inspection Log'!V17="","",'Inspection Log'!V17)</f>
        <v/>
      </c>
      <c r="F16" s="18" t="str">
        <f aca="false">IF(AND('Inspection Log'!X17="",'Inspection Log'!Y17=""),"","On-site: "&amp;IF('Inspection Log'!X17="","NOT SHOWN",'Inspection Log'!X17)&amp;" / 3rd-party: "&amp;IF('Inspection Log'!Y17="","NOT SHOWN",'Inspection Log'!Y17))</f>
        <v/>
      </c>
      <c r="G16" s="18" t="str">
        <f aca="false">IF('Inspection Log'!AF17="","",'Inspection Log'!AF17)</f>
        <v/>
      </c>
      <c r="H16" s="18" t="str">
        <f aca="false">IF('Inspection Log'!AM17="","",'Inspection Log'!AM17)</f>
        <v/>
      </c>
      <c r="I16" s="18" t="str">
        <f aca="false">IF('Inspection Log'!N17="","",'Inspection Log'!N17)</f>
        <v/>
      </c>
      <c r="J16" s="18" t="str">
        <f aca="false">IF('Inspection Log'!AT17="","",'Inspection Log'!AT17)</f>
        <v/>
      </c>
      <c r="K16" s="18" t="str">
        <f aca="false">Scoring!K20</f>
        <v/>
      </c>
      <c r="L16" s="18" t="str">
        <f aca="false">Scoring!Q20</f>
        <v/>
      </c>
      <c r="M16" s="19" t="str">
        <f aca="false">IF('Inspection Log'!D17="","",HYPERLINK('Inspection Log'!D17,'Inspection Log'!D17))</f>
        <v>https://prefab-house.en.alibaba.com/</v>
      </c>
      <c r="N16" s="19" t="str">
        <f aca="false">IF('Inspection Log'!AW17="","",HYPERLINK('Inspection Log'!AW17,'Inspection Log'!AW17))</f>
        <v/>
      </c>
      <c r="O16" s="19" t="str">
        <f aca="false">IF('Inspection Log'!AY17="","",HYPERLINK('Inspection Log'!AY17,'Inspection Log'!AY17))</f>
        <v/>
      </c>
    </row>
    <row r="17" customFormat="false" ht="15" hidden="false" customHeight="false" outlineLevel="0" collapsed="false">
      <c r="A17" s="18" t="n">
        <v>16</v>
      </c>
      <c r="B17" s="18" t="str">
        <f aca="false">IF('Inspection Log'!B18="","",'Inspection Log'!B18)</f>
        <v>Dongguan Toppre Modular House Co., Ltd.</v>
      </c>
      <c r="C17" s="18" t="str">
        <f aca="false">IF('Inspection Log'!L18="","",'Inspection Log'!L18)</f>
        <v/>
      </c>
      <c r="D17" s="18" t="str">
        <f aca="false">IF('Inspection Log'!AO18="","",'Inspection Log'!AO18)</f>
        <v/>
      </c>
      <c r="E17" s="18" t="str">
        <f aca="false">IF('Inspection Log'!V18="","",'Inspection Log'!V18)</f>
        <v/>
      </c>
      <c r="F17" s="18" t="str">
        <f aca="false">IF(AND('Inspection Log'!X18="",'Inspection Log'!Y18=""),"","On-site: "&amp;IF('Inspection Log'!X18="","NOT SHOWN",'Inspection Log'!X18)&amp;" / 3rd-party: "&amp;IF('Inspection Log'!Y18="","NOT SHOWN",'Inspection Log'!Y18))</f>
        <v/>
      </c>
      <c r="G17" s="18" t="str">
        <f aca="false">IF('Inspection Log'!AF18="","",'Inspection Log'!AF18)</f>
        <v/>
      </c>
      <c r="H17" s="18" t="str">
        <f aca="false">IF('Inspection Log'!AM18="","",'Inspection Log'!AM18)</f>
        <v/>
      </c>
      <c r="I17" s="18" t="str">
        <f aca="false">IF('Inspection Log'!N18="","",'Inspection Log'!N18)</f>
        <v/>
      </c>
      <c r="J17" s="18" t="str">
        <f aca="false">IF('Inspection Log'!AT18="","",'Inspection Log'!AT18)</f>
        <v/>
      </c>
      <c r="K17" s="18" t="str">
        <f aca="false">Scoring!K21</f>
        <v/>
      </c>
      <c r="L17" s="18" t="str">
        <f aca="false">Scoring!Q21</f>
        <v/>
      </c>
      <c r="M17" s="19" t="str">
        <f aca="false">IF('Inspection Log'!D18="","",HYPERLINK('Inspection Log'!D18,'Inspection Log'!D18))</f>
        <v>https://topprehouse.en.alibaba.com/</v>
      </c>
      <c r="N17" s="19" t="str">
        <f aca="false">IF('Inspection Log'!AW18="","",HYPERLINK('Inspection Log'!AW18,'Inspection Log'!AW18))</f>
        <v/>
      </c>
      <c r="O17" s="19" t="str">
        <f aca="false">IF('Inspection Log'!AY18="","",HYPERLINK('Inspection Log'!AY18,'Inspection Log'!AY18))</f>
        <v/>
      </c>
    </row>
    <row r="18" customFormat="false" ht="15" hidden="false" customHeight="false" outlineLevel="0" collapsed="false">
      <c r="A18" s="18" t="n">
        <v>17</v>
      </c>
      <c r="B18" s="18" t="str">
        <f aca="false">IF('Inspection Log'!B19="","",'Inspection Log'!B19)</f>
        <v>Tianjin Yuantai Module House Co., Ltd.</v>
      </c>
      <c r="C18" s="18" t="str">
        <f aca="false">IF('Inspection Log'!L19="","",'Inspection Log'!L19)</f>
        <v/>
      </c>
      <c r="D18" s="18" t="str">
        <f aca="false">IF('Inspection Log'!AO19="","",'Inspection Log'!AO19)</f>
        <v/>
      </c>
      <c r="E18" s="18" t="str">
        <f aca="false">IF('Inspection Log'!V19="","",'Inspection Log'!V19)</f>
        <v/>
      </c>
      <c r="F18" s="18" t="str">
        <f aca="false">IF(AND('Inspection Log'!X19="",'Inspection Log'!Y19=""),"","On-site: "&amp;IF('Inspection Log'!X19="","NOT SHOWN",'Inspection Log'!X19)&amp;" / 3rd-party: "&amp;IF('Inspection Log'!Y19="","NOT SHOWN",'Inspection Log'!Y19))</f>
        <v/>
      </c>
      <c r="G18" s="18" t="str">
        <f aca="false">IF('Inspection Log'!AF19="","",'Inspection Log'!AF19)</f>
        <v/>
      </c>
      <c r="H18" s="18" t="str">
        <f aca="false">IF('Inspection Log'!AM19="","",'Inspection Log'!AM19)</f>
        <v/>
      </c>
      <c r="I18" s="18" t="str">
        <f aca="false">IF('Inspection Log'!N19="","",'Inspection Log'!N19)</f>
        <v/>
      </c>
      <c r="J18" s="18" t="str">
        <f aca="false">IF('Inspection Log'!AT19="","",'Inspection Log'!AT19)</f>
        <v/>
      </c>
      <c r="K18" s="18" t="str">
        <f aca="false">Scoring!K22</f>
        <v/>
      </c>
      <c r="L18" s="18" t="str">
        <f aca="false">Scoring!Q22</f>
        <v/>
      </c>
      <c r="M18" s="19" t="str">
        <f aca="false">IF('Inspection Log'!D19="","",HYPERLINK('Inspection Log'!D19,'Inspection Log'!D19))</f>
        <v>https://zhongguoyuantai.en.alibaba.com/</v>
      </c>
      <c r="N18" s="19" t="str">
        <f aca="false">IF('Inspection Log'!AW19="","",HYPERLINK('Inspection Log'!AW19,'Inspection Log'!AW19))</f>
        <v/>
      </c>
      <c r="O18" s="19" t="str">
        <f aca="false">IF('Inspection Log'!AY19="","",HYPERLINK('Inspection Log'!AY19,'Inspection Log'!AY19))</f>
        <v/>
      </c>
    </row>
    <row r="19" customFormat="false" ht="15" hidden="false" customHeight="false" outlineLevel="0" collapsed="false">
      <c r="A19" s="18" t="n">
        <v>18</v>
      </c>
      <c r="B19" s="18" t="str">
        <f aca="false">IF('Inspection Log'!B20="","",'Inspection Log'!B20)</f>
        <v>Weifang Ante Steel Structure Engineering Co., Ltd.</v>
      </c>
      <c r="C19" s="18" t="str">
        <f aca="false">IF('Inspection Log'!L20="","",'Inspection Log'!L20)</f>
        <v/>
      </c>
      <c r="D19" s="18" t="str">
        <f aca="false">IF('Inspection Log'!AO20="","",'Inspection Log'!AO20)</f>
        <v/>
      </c>
      <c r="E19" s="18" t="str">
        <f aca="false">IF('Inspection Log'!V20="","",'Inspection Log'!V20)</f>
        <v/>
      </c>
      <c r="F19" s="18" t="str">
        <f aca="false">IF(AND('Inspection Log'!X20="",'Inspection Log'!Y20=""),"","On-site: "&amp;IF('Inspection Log'!X20="","NOT SHOWN",'Inspection Log'!X20)&amp;" / 3rd-party: "&amp;IF('Inspection Log'!Y20="","NOT SHOWN",'Inspection Log'!Y20))</f>
        <v/>
      </c>
      <c r="G19" s="18" t="str">
        <f aca="false">IF('Inspection Log'!AF20="","",'Inspection Log'!AF20)</f>
        <v/>
      </c>
      <c r="H19" s="18" t="str">
        <f aca="false">IF('Inspection Log'!AM20="","",'Inspection Log'!AM20)</f>
        <v/>
      </c>
      <c r="I19" s="18" t="str">
        <f aca="false">IF('Inspection Log'!N20="","",'Inspection Log'!N20)</f>
        <v/>
      </c>
      <c r="J19" s="18" t="str">
        <f aca="false">IF('Inspection Log'!AT20="","",'Inspection Log'!AT20)</f>
        <v/>
      </c>
      <c r="K19" s="18" t="str">
        <f aca="false">Scoring!K23</f>
        <v/>
      </c>
      <c r="L19" s="18" t="str">
        <f aca="false">Scoring!Q23</f>
        <v/>
      </c>
      <c r="M19" s="19" t="str">
        <f aca="false">IF('Inspection Log'!D20="","",HYPERLINK('Inspection Log'!D20,'Inspection Log'!D20))</f>
        <v>https://antehouse.en.alibaba.com/</v>
      </c>
      <c r="N19" s="19" t="str">
        <f aca="false">IF('Inspection Log'!AW20="","",HYPERLINK('Inspection Log'!AW20,'Inspection Log'!AW20))</f>
        <v/>
      </c>
      <c r="O19" s="19" t="str">
        <f aca="false">IF('Inspection Log'!AY20="","",HYPERLINK('Inspection Log'!AY20,'Inspection Log'!AY20))</f>
        <v/>
      </c>
    </row>
    <row r="20" customFormat="false" ht="15" hidden="false" customHeight="false" outlineLevel="0" collapsed="false">
      <c r="A20" s="18" t="n">
        <v>19</v>
      </c>
      <c r="B20" s="18" t="str">
        <f aca="false">IF('Inspection Log'!B21="","",'Inspection Log'!B21)</f>
        <v>Hebei Baida Mingsheng Integrated Housing Co., Ltd.</v>
      </c>
      <c r="C20" s="18" t="str">
        <f aca="false">IF('Inspection Log'!L21="","",'Inspection Log'!L21)</f>
        <v/>
      </c>
      <c r="D20" s="18" t="str">
        <f aca="false">IF('Inspection Log'!AO21="","",'Inspection Log'!AO21)</f>
        <v/>
      </c>
      <c r="E20" s="18" t="str">
        <f aca="false">IF('Inspection Log'!V21="","",'Inspection Log'!V21)</f>
        <v/>
      </c>
      <c r="F20" s="18" t="str">
        <f aca="false">IF(AND('Inspection Log'!X21="",'Inspection Log'!Y21=""),"","On-site: "&amp;IF('Inspection Log'!X21="","NOT SHOWN",'Inspection Log'!X21)&amp;" / 3rd-party: "&amp;IF('Inspection Log'!Y21="","NOT SHOWN",'Inspection Log'!Y21))</f>
        <v/>
      </c>
      <c r="G20" s="18" t="str">
        <f aca="false">IF('Inspection Log'!AF21="","",'Inspection Log'!AF21)</f>
        <v/>
      </c>
      <c r="H20" s="18" t="str">
        <f aca="false">IF('Inspection Log'!AM21="","",'Inspection Log'!AM21)</f>
        <v/>
      </c>
      <c r="I20" s="18" t="str">
        <f aca="false">IF('Inspection Log'!N21="","",'Inspection Log'!N21)</f>
        <v/>
      </c>
      <c r="J20" s="18" t="str">
        <f aca="false">IF('Inspection Log'!AT21="","",'Inspection Log'!AT21)</f>
        <v/>
      </c>
      <c r="K20" s="18" t="str">
        <f aca="false">Scoring!K24</f>
        <v/>
      </c>
      <c r="L20" s="18" t="str">
        <f aca="false">Scoring!Q24</f>
        <v/>
      </c>
      <c r="M20" s="19" t="str">
        <f aca="false">IF('Inspection Log'!D21="","",HYPERLINK('Inspection Log'!D21,'Inspection Log'!D21))</f>
        <v>https://baidamingsheng.en.alibaba.com/</v>
      </c>
      <c r="N20" s="19" t="str">
        <f aca="false">IF('Inspection Log'!AW21="","",HYPERLINK('Inspection Log'!AW21,'Inspection Log'!AW21))</f>
        <v/>
      </c>
      <c r="O20" s="19" t="str">
        <f aca="false">IF('Inspection Log'!AY21="","",HYPERLINK('Inspection Log'!AY21,'Inspection Log'!AY21))</f>
        <v/>
      </c>
    </row>
    <row r="21" customFormat="false" ht="15" hidden="false" customHeight="false" outlineLevel="0" collapsed="false">
      <c r="A21" s="18" t="n">
        <v>20</v>
      </c>
      <c r="B21" s="18" t="str">
        <f aca="false">IF('Inspection Log'!B22="","",'Inspection Log'!B22)</f>
        <v>Laizhou Dingrong Steel Structure Co., Ltd.</v>
      </c>
      <c r="C21" s="18" t="str">
        <f aca="false">IF('Inspection Log'!L22="","",'Inspection Log'!L22)</f>
        <v/>
      </c>
      <c r="D21" s="18" t="str">
        <f aca="false">IF('Inspection Log'!AO22="","",'Inspection Log'!AO22)</f>
        <v/>
      </c>
      <c r="E21" s="18" t="str">
        <f aca="false">IF('Inspection Log'!V22="","",'Inspection Log'!V22)</f>
        <v/>
      </c>
      <c r="F21" s="18" t="str">
        <f aca="false">IF(AND('Inspection Log'!X22="",'Inspection Log'!Y22=""),"","On-site: "&amp;IF('Inspection Log'!X22="","NOT SHOWN",'Inspection Log'!X22)&amp;" / 3rd-party: "&amp;IF('Inspection Log'!Y22="","NOT SHOWN",'Inspection Log'!Y22))</f>
        <v/>
      </c>
      <c r="G21" s="18" t="str">
        <f aca="false">IF('Inspection Log'!AF22="","",'Inspection Log'!AF22)</f>
        <v/>
      </c>
      <c r="H21" s="18" t="str">
        <f aca="false">IF('Inspection Log'!AM22="","",'Inspection Log'!AM22)</f>
        <v/>
      </c>
      <c r="I21" s="18" t="str">
        <f aca="false">IF('Inspection Log'!N22="","",'Inspection Log'!N22)</f>
        <v/>
      </c>
      <c r="J21" s="18" t="str">
        <f aca="false">IF('Inspection Log'!AT22="","",'Inspection Log'!AT22)</f>
        <v/>
      </c>
      <c r="K21" s="18" t="str">
        <f aca="false">Scoring!K25</f>
        <v/>
      </c>
      <c r="L21" s="18" t="str">
        <f aca="false">Scoring!Q25</f>
        <v/>
      </c>
      <c r="M21" s="19" t="str">
        <f aca="false">IF('Inspection Log'!D22="","",HYPERLINK('Inspection Log'!D22,'Inspection Log'!D22))</f>
        <v>https://prefabbuilding.en.alibaba.com/</v>
      </c>
      <c r="N21" s="19" t="str">
        <f aca="false">IF('Inspection Log'!AW22="","",HYPERLINK('Inspection Log'!AW22,'Inspection Log'!AW22))</f>
        <v/>
      </c>
      <c r="O21" s="19" t="str">
        <f aca="false">IF('Inspection Log'!AY22="","",HYPERLINK('Inspection Log'!AY22,'Inspection Log'!AY22))</f>
        <v/>
      </c>
    </row>
    <row r="22" customFormat="false" ht="23.85" hidden="false" customHeight="false" outlineLevel="0" collapsed="false">
      <c r="A22" s="18" t="n">
        <v>21</v>
      </c>
      <c r="B22" s="18" t="str">
        <f aca="false">IF('Inspection Log'!B23="","",'Inspection Log'!B23)</f>
        <v>Hebei Zhongxinhe Assembled Housing Manufacturing Co., Ltd.</v>
      </c>
      <c r="C22" s="18" t="str">
        <f aca="false">IF('Inspection Log'!L23="","",'Inspection Log'!L23)</f>
        <v/>
      </c>
      <c r="D22" s="18" t="str">
        <f aca="false">IF('Inspection Log'!AO23="","",'Inspection Log'!AO23)</f>
        <v/>
      </c>
      <c r="E22" s="18" t="str">
        <f aca="false">IF('Inspection Log'!V23="","",'Inspection Log'!V23)</f>
        <v/>
      </c>
      <c r="F22" s="18" t="str">
        <f aca="false">IF(AND('Inspection Log'!X23="",'Inspection Log'!Y23=""),"","On-site: "&amp;IF('Inspection Log'!X23="","NOT SHOWN",'Inspection Log'!X23)&amp;" / 3rd-party: "&amp;IF('Inspection Log'!Y23="","NOT SHOWN",'Inspection Log'!Y23))</f>
        <v/>
      </c>
      <c r="G22" s="18" t="str">
        <f aca="false">IF('Inspection Log'!AF23="","",'Inspection Log'!AF23)</f>
        <v/>
      </c>
      <c r="H22" s="18" t="str">
        <f aca="false">IF('Inspection Log'!AM23="","",'Inspection Log'!AM23)</f>
        <v/>
      </c>
      <c r="I22" s="18" t="str">
        <f aca="false">IF('Inspection Log'!N23="","",'Inspection Log'!N23)</f>
        <v/>
      </c>
      <c r="J22" s="18" t="str">
        <f aca="false">IF('Inspection Log'!AT23="","",'Inspection Log'!AT23)</f>
        <v/>
      </c>
      <c r="K22" s="18" t="str">
        <f aca="false">Scoring!K26</f>
        <v/>
      </c>
      <c r="L22" s="18" t="str">
        <f aca="false">Scoring!Q26</f>
        <v/>
      </c>
      <c r="M22" s="19" t="str">
        <f aca="false">IF('Inspection Log'!D23="","",HYPERLINK('Inspection Log'!D23,'Inspection Log'!D23))</f>
        <v>https://hbzxh.en.alibaba.com/</v>
      </c>
      <c r="N22" s="19" t="str">
        <f aca="false">IF('Inspection Log'!AW23="","",HYPERLINK('Inspection Log'!AW23,'Inspection Log'!AW23))</f>
        <v/>
      </c>
      <c r="O22" s="19" t="str">
        <f aca="false">IF('Inspection Log'!AY23="","",HYPERLINK('Inspection Log'!AY23,'Inspection Log'!AY23))</f>
        <v/>
      </c>
    </row>
    <row r="23" customFormat="false" ht="15" hidden="false" customHeight="false" outlineLevel="0" collapsed="false">
      <c r="A23" s="18" t="n">
        <v>22</v>
      </c>
      <c r="B23" s="18" t="str">
        <f aca="false">IF('Inspection Log'!B24="","",'Inspection Log'!B24)</f>
        <v>Guangdong Cbox Co., Limited</v>
      </c>
      <c r="C23" s="18" t="str">
        <f aca="false">IF('Inspection Log'!L24="","",'Inspection Log'!L24)</f>
        <v/>
      </c>
      <c r="D23" s="18" t="str">
        <f aca="false">IF('Inspection Log'!AO24="","",'Inspection Log'!AO24)</f>
        <v/>
      </c>
      <c r="E23" s="18" t="str">
        <f aca="false">IF('Inspection Log'!V24="","",'Inspection Log'!V24)</f>
        <v/>
      </c>
      <c r="F23" s="18" t="str">
        <f aca="false">IF(AND('Inspection Log'!X24="",'Inspection Log'!Y24=""),"","On-site: "&amp;IF('Inspection Log'!X24="","NOT SHOWN",'Inspection Log'!X24)&amp;" / 3rd-party: "&amp;IF('Inspection Log'!Y24="","NOT SHOWN",'Inspection Log'!Y24))</f>
        <v/>
      </c>
      <c r="G23" s="18" t="str">
        <f aca="false">IF('Inspection Log'!AF24="","",'Inspection Log'!AF24)</f>
        <v/>
      </c>
      <c r="H23" s="18" t="str">
        <f aca="false">IF('Inspection Log'!AM24="","",'Inspection Log'!AM24)</f>
        <v/>
      </c>
      <c r="I23" s="18" t="str">
        <f aca="false">IF('Inspection Log'!N24="","",'Inspection Log'!N24)</f>
        <v/>
      </c>
      <c r="J23" s="18" t="str">
        <f aca="false">IF('Inspection Log'!AT24="","",'Inspection Log'!AT24)</f>
        <v/>
      </c>
      <c r="K23" s="18" t="str">
        <f aca="false">Scoring!K27</f>
        <v/>
      </c>
      <c r="L23" s="18" t="str">
        <f aca="false">Scoring!Q27</f>
        <v/>
      </c>
      <c r="M23" s="19" t="str">
        <f aca="false">IF('Inspection Log'!D24="","",HYPERLINK('Inspection Log'!D24,'Inspection Log'!D24))</f>
        <v>https://cbox.en.alibaba.com/</v>
      </c>
      <c r="N23" s="19" t="str">
        <f aca="false">IF('Inspection Log'!AW24="","",HYPERLINK('Inspection Log'!AW24,'Inspection Log'!AW24))</f>
        <v/>
      </c>
      <c r="O23" s="19" t="str">
        <f aca="false">IF('Inspection Log'!AY24="","",HYPERLINK('Inspection Log'!AY24,'Inspection Log'!AY24))</f>
        <v/>
      </c>
    </row>
    <row r="24" customFormat="false" ht="15" hidden="false" customHeight="false" outlineLevel="0" collapsed="false">
      <c r="A24" s="18" t="n">
        <v>23</v>
      </c>
      <c r="B24" s="18" t="str">
        <f aca="false">IF('Inspection Log'!B25="","",'Inspection Log'!B25)</f>
        <v>Dalian Xiesheng Construction Industry Co., Ltd.</v>
      </c>
      <c r="C24" s="18" t="str">
        <f aca="false">IF('Inspection Log'!L25="","",'Inspection Log'!L25)</f>
        <v/>
      </c>
      <c r="D24" s="18" t="str">
        <f aca="false">IF('Inspection Log'!AO25="","",'Inspection Log'!AO25)</f>
        <v/>
      </c>
      <c r="E24" s="18" t="str">
        <f aca="false">IF('Inspection Log'!V25="","",'Inspection Log'!V25)</f>
        <v/>
      </c>
      <c r="F24" s="18" t="str">
        <f aca="false">IF(AND('Inspection Log'!X25="",'Inspection Log'!Y25=""),"","On-site: "&amp;IF('Inspection Log'!X25="","NOT SHOWN",'Inspection Log'!X25)&amp;" / 3rd-party: "&amp;IF('Inspection Log'!Y25="","NOT SHOWN",'Inspection Log'!Y25))</f>
        <v/>
      </c>
      <c r="G24" s="18" t="str">
        <f aca="false">IF('Inspection Log'!AF25="","",'Inspection Log'!AF25)</f>
        <v/>
      </c>
      <c r="H24" s="18" t="str">
        <f aca="false">IF('Inspection Log'!AM25="","",'Inspection Log'!AM25)</f>
        <v/>
      </c>
      <c r="I24" s="18" t="str">
        <f aca="false">IF('Inspection Log'!N25="","",'Inspection Log'!N25)</f>
        <v/>
      </c>
      <c r="J24" s="18" t="str">
        <f aca="false">IF('Inspection Log'!AT25="","",'Inspection Log'!AT25)</f>
        <v/>
      </c>
      <c r="K24" s="18" t="str">
        <f aca="false">Scoring!K28</f>
        <v/>
      </c>
      <c r="L24" s="18" t="str">
        <f aca="false">Scoring!Q28</f>
        <v/>
      </c>
      <c r="M24" s="19" t="str">
        <f aca="false">IF('Inspection Log'!D25="","",HYPERLINK('Inspection Log'!D25,'Inspection Log'!D25))</f>
        <v>https://xsbuild.en.alibaba.com/</v>
      </c>
      <c r="N24" s="19" t="str">
        <f aca="false">IF('Inspection Log'!AW25="","",HYPERLINK('Inspection Log'!AW25,'Inspection Log'!AW25))</f>
        <v/>
      </c>
      <c r="O24" s="19" t="str">
        <f aca="false">IF('Inspection Log'!AY25="","",HYPERLINK('Inspection Log'!AY25,'Inspection Log'!AY25))</f>
        <v/>
      </c>
    </row>
    <row r="25" customFormat="false" ht="15" hidden="false" customHeight="false" outlineLevel="0" collapsed="false">
      <c r="A25" s="18" t="n">
        <v>24</v>
      </c>
      <c r="B25" s="18" t="str">
        <f aca="false">IF('Inspection Log'!B26="","",'Inspection Log'!B26)</f>
        <v>Linyi Jianjie Exhibition Tent House Co., Ltd.</v>
      </c>
      <c r="C25" s="18" t="str">
        <f aca="false">IF('Inspection Log'!L26="","",'Inspection Log'!L26)</f>
        <v/>
      </c>
      <c r="D25" s="18" t="str">
        <f aca="false">IF('Inspection Log'!AO26="","",'Inspection Log'!AO26)</f>
        <v/>
      </c>
      <c r="E25" s="18" t="str">
        <f aca="false">IF('Inspection Log'!V26="","",'Inspection Log'!V26)</f>
        <v/>
      </c>
      <c r="F25" s="18" t="str">
        <f aca="false">IF(AND('Inspection Log'!X26="",'Inspection Log'!Y26=""),"","On-site: "&amp;IF('Inspection Log'!X26="","NOT SHOWN",'Inspection Log'!X26)&amp;" / 3rd-party: "&amp;IF('Inspection Log'!Y26="","NOT SHOWN",'Inspection Log'!Y26))</f>
        <v/>
      </c>
      <c r="G25" s="18" t="str">
        <f aca="false">IF('Inspection Log'!AF26="","",'Inspection Log'!AF26)</f>
        <v/>
      </c>
      <c r="H25" s="18" t="str">
        <f aca="false">IF('Inspection Log'!AM26="","",'Inspection Log'!AM26)</f>
        <v/>
      </c>
      <c r="I25" s="18" t="str">
        <f aca="false">IF('Inspection Log'!N26="","",'Inspection Log'!N26)</f>
        <v/>
      </c>
      <c r="J25" s="18" t="str">
        <f aca="false">IF('Inspection Log'!AT26="","",'Inspection Log'!AT26)</f>
        <v/>
      </c>
      <c r="K25" s="18" t="str">
        <f aca="false">Scoring!K29</f>
        <v/>
      </c>
      <c r="L25" s="18" t="str">
        <f aca="false">Scoring!Q29</f>
        <v/>
      </c>
      <c r="M25" s="19" t="str">
        <f aca="false">IF('Inspection Log'!D26="","",HYPERLINK('Inspection Log'!D26,'Inspection Log'!D26))</f>
        <v>https://runtaicabin.en.alibaba.com/</v>
      </c>
      <c r="N25" s="19" t="str">
        <f aca="false">IF('Inspection Log'!AW26="","",HYPERLINK('Inspection Log'!AW26,'Inspection Log'!AW26))</f>
        <v/>
      </c>
      <c r="O25" s="19" t="str">
        <f aca="false">IF('Inspection Log'!AY26="","",HYPERLINK('Inspection Log'!AY26,'Inspection Log'!AY26))</f>
        <v/>
      </c>
    </row>
    <row r="26" customFormat="false" ht="23.85" hidden="false" customHeight="false" outlineLevel="0" collapsed="false">
      <c r="A26" s="18" t="n">
        <v>25</v>
      </c>
      <c r="B26" s="18" t="str">
        <f aca="false">IF('Inspection Log'!B27="","",'Inspection Log'!B27)</f>
        <v>Foshan Yinneng Green Construction Technology Co., Ltd.</v>
      </c>
      <c r="C26" s="18" t="str">
        <f aca="false">IF('Inspection Log'!L27="","",'Inspection Log'!L27)</f>
        <v/>
      </c>
      <c r="D26" s="18" t="str">
        <f aca="false">IF('Inspection Log'!AO27="","",'Inspection Log'!AO27)</f>
        <v/>
      </c>
      <c r="E26" s="18" t="str">
        <f aca="false">IF('Inspection Log'!V27="","",'Inspection Log'!V27)</f>
        <v/>
      </c>
      <c r="F26" s="18" t="str">
        <f aca="false">IF(AND('Inspection Log'!X27="",'Inspection Log'!Y27=""),"","On-site: "&amp;IF('Inspection Log'!X27="","NOT SHOWN",'Inspection Log'!X27)&amp;" / 3rd-party: "&amp;IF('Inspection Log'!Y27="","NOT SHOWN",'Inspection Log'!Y27))</f>
        <v/>
      </c>
      <c r="G26" s="18" t="str">
        <f aca="false">IF('Inspection Log'!AF27="","",'Inspection Log'!AF27)</f>
        <v/>
      </c>
      <c r="H26" s="18" t="str">
        <f aca="false">IF('Inspection Log'!AM27="","",'Inspection Log'!AM27)</f>
        <v/>
      </c>
      <c r="I26" s="18" t="str">
        <f aca="false">IF('Inspection Log'!N27="","",'Inspection Log'!N27)</f>
        <v/>
      </c>
      <c r="J26" s="18" t="str">
        <f aca="false">IF('Inspection Log'!AT27="","",'Inspection Log'!AT27)</f>
        <v/>
      </c>
      <c r="K26" s="18" t="str">
        <f aca="false">Scoring!K30</f>
        <v/>
      </c>
      <c r="L26" s="18" t="str">
        <f aca="false">Scoring!Q30</f>
        <v/>
      </c>
      <c r="M26" s="19" t="str">
        <f aca="false">IF('Inspection Log'!D27="","",HYPERLINK('Inspection Log'!D27,'Inspection Log'!D27))</f>
        <v>https://yinnenggreen.en.alibaba.com/</v>
      </c>
      <c r="N26" s="19" t="str">
        <f aca="false">IF('Inspection Log'!AW27="","",HYPERLINK('Inspection Log'!AW27,'Inspection Log'!AW27))</f>
        <v/>
      </c>
      <c r="O26" s="19" t="str">
        <f aca="false">IF('Inspection Log'!AY27="","",HYPERLINK('Inspection Log'!AY27,'Inspection Log'!AY27))</f>
        <v/>
      </c>
    </row>
    <row r="27" customFormat="false" ht="15" hidden="false" customHeight="false" outlineLevel="0" collapsed="false">
      <c r="A27" s="18" t="n">
        <v>26</v>
      </c>
      <c r="B27" s="18" t="str">
        <f aca="false">IF('Inspection Log'!B28="","",'Inspection Log'!B28)</f>
        <v>Suzhou Daxiang Container House Co., Ltd.</v>
      </c>
      <c r="C27" s="18" t="str">
        <f aca="false">IF('Inspection Log'!L28="","",'Inspection Log'!L28)</f>
        <v/>
      </c>
      <c r="D27" s="18" t="str">
        <f aca="false">IF('Inspection Log'!AO28="","",'Inspection Log'!AO28)</f>
        <v/>
      </c>
      <c r="E27" s="18" t="str">
        <f aca="false">IF('Inspection Log'!V28="","",'Inspection Log'!V28)</f>
        <v/>
      </c>
      <c r="F27" s="18" t="str">
        <f aca="false">IF(AND('Inspection Log'!X28="",'Inspection Log'!Y28=""),"","On-site: "&amp;IF('Inspection Log'!X28="","NOT SHOWN",'Inspection Log'!X28)&amp;" / 3rd-party: "&amp;IF('Inspection Log'!Y28="","NOT SHOWN",'Inspection Log'!Y28))</f>
        <v/>
      </c>
      <c r="G27" s="18" t="str">
        <f aca="false">IF('Inspection Log'!AF28="","",'Inspection Log'!AF28)</f>
        <v/>
      </c>
      <c r="H27" s="18" t="str">
        <f aca="false">IF('Inspection Log'!AM28="","",'Inspection Log'!AM28)</f>
        <v/>
      </c>
      <c r="I27" s="18" t="str">
        <f aca="false">IF('Inspection Log'!N28="","",'Inspection Log'!N28)</f>
        <v/>
      </c>
      <c r="J27" s="18" t="str">
        <f aca="false">IF('Inspection Log'!AT28="","",'Inspection Log'!AT28)</f>
        <v/>
      </c>
      <c r="K27" s="18" t="str">
        <f aca="false">Scoring!K31</f>
        <v/>
      </c>
      <c r="L27" s="18" t="str">
        <f aca="false">Scoring!Q31</f>
        <v/>
      </c>
      <c r="M27" s="19" t="str">
        <f aca="false">IF('Inspection Log'!D28="","",HYPERLINK('Inspection Log'!D28,'Inspection Log'!D28))</f>
        <v>https://dxhcontainer.en.alibaba.com/</v>
      </c>
      <c r="N27" s="19" t="str">
        <f aca="false">IF('Inspection Log'!AW28="","",HYPERLINK('Inspection Log'!AW28,'Inspection Log'!AW28))</f>
        <v/>
      </c>
      <c r="O27" s="19" t="str">
        <f aca="false">IF('Inspection Log'!AY28="","",HYPERLINK('Inspection Log'!AY28,'Inspection Log'!AY28))</f>
        <v/>
      </c>
    </row>
    <row r="28" customFormat="false" ht="15" hidden="false" customHeight="false" outlineLevel="0" collapsed="false">
      <c r="A28" s="18" t="n">
        <v>27</v>
      </c>
      <c r="B28" s="18" t="str">
        <f aca="false">IF('Inspection Log'!B29="","",'Inspection Log'!B29)</f>
        <v>Orient GS International Engineering Co., Ltd.</v>
      </c>
      <c r="C28" s="18" t="str">
        <f aca="false">IF('Inspection Log'!L29="","",'Inspection Log'!L29)</f>
        <v/>
      </c>
      <c r="D28" s="18" t="str">
        <f aca="false">IF('Inspection Log'!AO29="","",'Inspection Log'!AO29)</f>
        <v/>
      </c>
      <c r="E28" s="18" t="str">
        <f aca="false">IF('Inspection Log'!V29="","",'Inspection Log'!V29)</f>
        <v/>
      </c>
      <c r="F28" s="18" t="str">
        <f aca="false">IF(AND('Inspection Log'!X29="",'Inspection Log'!Y29=""),"","On-site: "&amp;IF('Inspection Log'!X29="","NOT SHOWN",'Inspection Log'!X29)&amp;" / 3rd-party: "&amp;IF('Inspection Log'!Y29="","NOT SHOWN",'Inspection Log'!Y29))</f>
        <v/>
      </c>
      <c r="G28" s="18" t="str">
        <f aca="false">IF('Inspection Log'!AF29="","",'Inspection Log'!AF29)</f>
        <v/>
      </c>
      <c r="H28" s="18" t="str">
        <f aca="false">IF('Inspection Log'!AM29="","",'Inspection Log'!AM29)</f>
        <v/>
      </c>
      <c r="I28" s="18" t="str">
        <f aca="false">IF('Inspection Log'!N29="","",'Inspection Log'!N29)</f>
        <v/>
      </c>
      <c r="J28" s="18" t="str">
        <f aca="false">IF('Inspection Log'!AT29="","",'Inspection Log'!AT29)</f>
        <v/>
      </c>
      <c r="K28" s="18" t="str">
        <f aca="false">Scoring!K32</f>
        <v/>
      </c>
      <c r="L28" s="18" t="str">
        <f aca="false">Scoring!Q32</f>
        <v/>
      </c>
      <c r="M28" s="19" t="str">
        <f aca="false">IF('Inspection Log'!D29="","",HYPERLINK('Inspection Log'!D29,'Inspection Log'!D29))</f>
        <v>https://gshousing.en.alibaba.com/</v>
      </c>
      <c r="N28" s="19" t="str">
        <f aca="false">IF('Inspection Log'!AW29="","",HYPERLINK('Inspection Log'!AW29,'Inspection Log'!AW29))</f>
        <v/>
      </c>
      <c r="O28" s="19" t="str">
        <f aca="false">IF('Inspection Log'!AY29="","",HYPERLINK('Inspection Log'!AY29,'Inspection Log'!AY29))</f>
        <v/>
      </c>
    </row>
    <row r="29" customFormat="false" ht="15" hidden="false" customHeight="false" outlineLevel="0" collapsed="false">
      <c r="A29" s="18" t="n">
        <v>28</v>
      </c>
      <c r="B29" s="18" t="str">
        <f aca="false">IF('Inspection Log'!B30="","",'Inspection Log'!B30)</f>
        <v/>
      </c>
      <c r="C29" s="18" t="str">
        <f aca="false">IF('Inspection Log'!L30="","",'Inspection Log'!L30)</f>
        <v/>
      </c>
      <c r="D29" s="18" t="str">
        <f aca="false">IF('Inspection Log'!AO30="","",'Inspection Log'!AO30)</f>
        <v/>
      </c>
      <c r="E29" s="18" t="str">
        <f aca="false">IF('Inspection Log'!V30="","",'Inspection Log'!V30)</f>
        <v/>
      </c>
      <c r="F29" s="18" t="str">
        <f aca="false">IF(AND('Inspection Log'!X30="",'Inspection Log'!Y30=""),"","On-site: "&amp;IF('Inspection Log'!X30="","NOT SHOWN",'Inspection Log'!X30)&amp;" / 3rd-party: "&amp;IF('Inspection Log'!Y30="","NOT SHOWN",'Inspection Log'!Y30))</f>
        <v/>
      </c>
      <c r="G29" s="18" t="str">
        <f aca="false">IF('Inspection Log'!AF30="","",'Inspection Log'!AF30)</f>
        <v/>
      </c>
      <c r="H29" s="18" t="str">
        <f aca="false">IF('Inspection Log'!AM30="","",'Inspection Log'!AM30)</f>
        <v/>
      </c>
      <c r="I29" s="18" t="str">
        <f aca="false">IF('Inspection Log'!N30="","",'Inspection Log'!N30)</f>
        <v/>
      </c>
      <c r="J29" s="18" t="str">
        <f aca="false">IF('Inspection Log'!AT30="","",'Inspection Log'!AT30)</f>
        <v/>
      </c>
      <c r="K29" s="18" t="str">
        <f aca="false">Scoring!K33</f>
        <v/>
      </c>
      <c r="L29" s="18" t="str">
        <f aca="false">Scoring!Q33</f>
        <v/>
      </c>
      <c r="M29" s="19" t="str">
        <f aca="false">IF('Inspection Log'!D30="","",HYPERLINK('Inspection Log'!D30,'Inspection Log'!D30))</f>
        <v/>
      </c>
      <c r="N29" s="19" t="str">
        <f aca="false">IF('Inspection Log'!AW30="","",HYPERLINK('Inspection Log'!AW30,'Inspection Log'!AW30))</f>
        <v/>
      </c>
      <c r="O29" s="19" t="str">
        <f aca="false">IF('Inspection Log'!AY30="","",HYPERLINK('Inspection Log'!AY30,'Inspection Log'!AY30))</f>
        <v/>
      </c>
    </row>
    <row r="30" customFormat="false" ht="15" hidden="false" customHeight="false" outlineLevel="0" collapsed="false">
      <c r="A30" s="18" t="n">
        <v>29</v>
      </c>
      <c r="B30" s="18" t="str">
        <f aca="false">IF('Inspection Log'!B31="","",'Inspection Log'!B31)</f>
        <v/>
      </c>
      <c r="C30" s="18" t="str">
        <f aca="false">IF('Inspection Log'!L31="","",'Inspection Log'!L31)</f>
        <v/>
      </c>
      <c r="D30" s="18" t="str">
        <f aca="false">IF('Inspection Log'!AO31="","",'Inspection Log'!AO31)</f>
        <v/>
      </c>
      <c r="E30" s="18" t="str">
        <f aca="false">IF('Inspection Log'!V31="","",'Inspection Log'!V31)</f>
        <v/>
      </c>
      <c r="F30" s="18" t="str">
        <f aca="false">IF(AND('Inspection Log'!X31="",'Inspection Log'!Y31=""),"","On-site: "&amp;IF('Inspection Log'!X31="","NOT SHOWN",'Inspection Log'!X31)&amp;" / 3rd-party: "&amp;IF('Inspection Log'!Y31="","NOT SHOWN",'Inspection Log'!Y31))</f>
        <v/>
      </c>
      <c r="G30" s="18" t="str">
        <f aca="false">IF('Inspection Log'!AF31="","",'Inspection Log'!AF31)</f>
        <v/>
      </c>
      <c r="H30" s="18" t="str">
        <f aca="false">IF('Inspection Log'!AM31="","",'Inspection Log'!AM31)</f>
        <v/>
      </c>
      <c r="I30" s="18" t="str">
        <f aca="false">IF('Inspection Log'!N31="","",'Inspection Log'!N31)</f>
        <v/>
      </c>
      <c r="J30" s="18" t="str">
        <f aca="false">IF('Inspection Log'!AT31="","",'Inspection Log'!AT31)</f>
        <v/>
      </c>
      <c r="K30" s="18" t="str">
        <f aca="false">Scoring!K34</f>
        <v/>
      </c>
      <c r="L30" s="18" t="str">
        <f aca="false">Scoring!Q34</f>
        <v/>
      </c>
      <c r="M30" s="19" t="str">
        <f aca="false">IF('Inspection Log'!D31="","",HYPERLINK('Inspection Log'!D31,'Inspection Log'!D31))</f>
        <v/>
      </c>
      <c r="N30" s="19" t="str">
        <f aca="false">IF('Inspection Log'!AW31="","",HYPERLINK('Inspection Log'!AW31,'Inspection Log'!AW31))</f>
        <v/>
      </c>
      <c r="O30" s="19" t="str">
        <f aca="false">IF('Inspection Log'!AY31="","",HYPERLINK('Inspection Log'!AY31,'Inspection Log'!AY31))</f>
        <v/>
      </c>
    </row>
    <row r="31" customFormat="false" ht="15" hidden="false" customHeight="false" outlineLevel="0" collapsed="false">
      <c r="A31" s="18" t="n">
        <v>30</v>
      </c>
      <c r="B31" s="18" t="str">
        <f aca="false">IF('Inspection Log'!B32="","",'Inspection Log'!B32)</f>
        <v/>
      </c>
      <c r="C31" s="18" t="str">
        <f aca="false">IF('Inspection Log'!L32="","",'Inspection Log'!L32)</f>
        <v/>
      </c>
      <c r="D31" s="18" t="str">
        <f aca="false">IF('Inspection Log'!AO32="","",'Inspection Log'!AO32)</f>
        <v/>
      </c>
      <c r="E31" s="18" t="str">
        <f aca="false">IF('Inspection Log'!V32="","",'Inspection Log'!V32)</f>
        <v/>
      </c>
      <c r="F31" s="18" t="str">
        <f aca="false">IF(AND('Inspection Log'!X32="",'Inspection Log'!Y32=""),"","On-site: "&amp;IF('Inspection Log'!X32="","NOT SHOWN",'Inspection Log'!X32)&amp;" / 3rd-party: "&amp;IF('Inspection Log'!Y32="","NOT SHOWN",'Inspection Log'!Y32))</f>
        <v/>
      </c>
      <c r="G31" s="18" t="str">
        <f aca="false">IF('Inspection Log'!AF32="","",'Inspection Log'!AF32)</f>
        <v/>
      </c>
      <c r="H31" s="18" t="str">
        <f aca="false">IF('Inspection Log'!AM32="","",'Inspection Log'!AM32)</f>
        <v/>
      </c>
      <c r="I31" s="18" t="str">
        <f aca="false">IF('Inspection Log'!N32="","",'Inspection Log'!N32)</f>
        <v/>
      </c>
      <c r="J31" s="18" t="str">
        <f aca="false">IF('Inspection Log'!AT32="","",'Inspection Log'!AT32)</f>
        <v/>
      </c>
      <c r="K31" s="18" t="str">
        <f aca="false">Scoring!K35</f>
        <v/>
      </c>
      <c r="L31" s="18" t="str">
        <f aca="false">Scoring!Q35</f>
        <v/>
      </c>
      <c r="M31" s="19" t="str">
        <f aca="false">IF('Inspection Log'!D32="","",HYPERLINK('Inspection Log'!D32,'Inspection Log'!D32))</f>
        <v/>
      </c>
      <c r="N31" s="19" t="str">
        <f aca="false">IF('Inspection Log'!AW32="","",HYPERLINK('Inspection Log'!AW32,'Inspection Log'!AW32))</f>
        <v/>
      </c>
      <c r="O31" s="19" t="str">
        <f aca="false">IF('Inspection Log'!AY32="","",HYPERLINK('Inspection Log'!AY32,'Inspection Log'!AY32))</f>
        <v/>
      </c>
    </row>
    <row r="32" customFormat="false" ht="15" hidden="false" customHeight="false" outlineLevel="0" collapsed="false">
      <c r="A32" s="18" t="n">
        <v>31</v>
      </c>
      <c r="B32" s="18" t="str">
        <f aca="false">IF('Inspection Log'!B33="","",'Inspection Log'!B33)</f>
        <v/>
      </c>
      <c r="C32" s="18" t="str">
        <f aca="false">IF('Inspection Log'!L33="","",'Inspection Log'!L33)</f>
        <v/>
      </c>
      <c r="D32" s="18" t="str">
        <f aca="false">IF('Inspection Log'!AO33="","",'Inspection Log'!AO33)</f>
        <v/>
      </c>
      <c r="E32" s="18" t="str">
        <f aca="false">IF('Inspection Log'!V33="","",'Inspection Log'!V33)</f>
        <v/>
      </c>
      <c r="F32" s="18" t="str">
        <f aca="false">IF(AND('Inspection Log'!X33="",'Inspection Log'!Y33=""),"","On-site: "&amp;IF('Inspection Log'!X33="","NOT SHOWN",'Inspection Log'!X33)&amp;" / 3rd-party: "&amp;IF('Inspection Log'!Y33="","NOT SHOWN",'Inspection Log'!Y33))</f>
        <v/>
      </c>
      <c r="G32" s="18" t="str">
        <f aca="false">IF('Inspection Log'!AF33="","",'Inspection Log'!AF33)</f>
        <v/>
      </c>
      <c r="H32" s="18" t="str">
        <f aca="false">IF('Inspection Log'!AM33="","",'Inspection Log'!AM33)</f>
        <v/>
      </c>
      <c r="I32" s="18" t="str">
        <f aca="false">IF('Inspection Log'!N33="","",'Inspection Log'!N33)</f>
        <v/>
      </c>
      <c r="J32" s="18" t="str">
        <f aca="false">IF('Inspection Log'!AT33="","",'Inspection Log'!AT33)</f>
        <v/>
      </c>
      <c r="K32" s="18" t="str">
        <f aca="false">Scoring!K36</f>
        <v/>
      </c>
      <c r="L32" s="18" t="str">
        <f aca="false">Scoring!Q36</f>
        <v/>
      </c>
      <c r="M32" s="19" t="str">
        <f aca="false">IF('Inspection Log'!D33="","",HYPERLINK('Inspection Log'!D33,'Inspection Log'!D33))</f>
        <v/>
      </c>
      <c r="N32" s="19" t="str">
        <f aca="false">IF('Inspection Log'!AW33="","",HYPERLINK('Inspection Log'!AW33,'Inspection Log'!AW33))</f>
        <v/>
      </c>
      <c r="O32" s="19" t="str">
        <f aca="false">IF('Inspection Log'!AY33="","",HYPERLINK('Inspection Log'!AY33,'Inspection Log'!AY33))</f>
        <v/>
      </c>
    </row>
    <row r="33" customFormat="false" ht="15" hidden="false" customHeight="false" outlineLevel="0" collapsed="false">
      <c r="A33" s="18" t="n">
        <v>32</v>
      </c>
      <c r="B33" s="18" t="str">
        <f aca="false">IF('Inspection Log'!B34="","",'Inspection Log'!B34)</f>
        <v/>
      </c>
      <c r="C33" s="18" t="str">
        <f aca="false">IF('Inspection Log'!L34="","",'Inspection Log'!L34)</f>
        <v/>
      </c>
      <c r="D33" s="18" t="str">
        <f aca="false">IF('Inspection Log'!AO34="","",'Inspection Log'!AO34)</f>
        <v/>
      </c>
      <c r="E33" s="18" t="str">
        <f aca="false">IF('Inspection Log'!V34="","",'Inspection Log'!V34)</f>
        <v/>
      </c>
      <c r="F33" s="18" t="str">
        <f aca="false">IF(AND('Inspection Log'!X34="",'Inspection Log'!Y34=""),"","On-site: "&amp;IF('Inspection Log'!X34="","NOT SHOWN",'Inspection Log'!X34)&amp;" / 3rd-party: "&amp;IF('Inspection Log'!Y34="","NOT SHOWN",'Inspection Log'!Y34))</f>
        <v/>
      </c>
      <c r="G33" s="18" t="str">
        <f aca="false">IF('Inspection Log'!AF34="","",'Inspection Log'!AF34)</f>
        <v/>
      </c>
      <c r="H33" s="18" t="str">
        <f aca="false">IF('Inspection Log'!AM34="","",'Inspection Log'!AM34)</f>
        <v/>
      </c>
      <c r="I33" s="18" t="str">
        <f aca="false">IF('Inspection Log'!N34="","",'Inspection Log'!N34)</f>
        <v/>
      </c>
      <c r="J33" s="18" t="str">
        <f aca="false">IF('Inspection Log'!AT34="","",'Inspection Log'!AT34)</f>
        <v/>
      </c>
      <c r="K33" s="18" t="str">
        <f aca="false">Scoring!K37</f>
        <v/>
      </c>
      <c r="L33" s="18" t="str">
        <f aca="false">Scoring!Q37</f>
        <v/>
      </c>
      <c r="M33" s="19" t="str">
        <f aca="false">IF('Inspection Log'!D34="","",HYPERLINK('Inspection Log'!D34,'Inspection Log'!D34))</f>
        <v/>
      </c>
      <c r="N33" s="19" t="str">
        <f aca="false">IF('Inspection Log'!AW34="","",HYPERLINK('Inspection Log'!AW34,'Inspection Log'!AW34))</f>
        <v/>
      </c>
      <c r="O33" s="19" t="str">
        <f aca="false">IF('Inspection Log'!AY34="","",HYPERLINK('Inspection Log'!AY34,'Inspection Log'!AY34))</f>
        <v/>
      </c>
    </row>
    <row r="34" customFormat="false" ht="15" hidden="false" customHeight="false" outlineLevel="0" collapsed="false">
      <c r="A34" s="18" t="n">
        <v>33</v>
      </c>
      <c r="B34" s="18" t="str">
        <f aca="false">IF('Inspection Log'!B35="","",'Inspection Log'!B35)</f>
        <v/>
      </c>
      <c r="C34" s="18" t="str">
        <f aca="false">IF('Inspection Log'!L35="","",'Inspection Log'!L35)</f>
        <v/>
      </c>
      <c r="D34" s="18" t="str">
        <f aca="false">IF('Inspection Log'!AO35="","",'Inspection Log'!AO35)</f>
        <v/>
      </c>
      <c r="E34" s="18" t="str">
        <f aca="false">IF('Inspection Log'!V35="","",'Inspection Log'!V35)</f>
        <v/>
      </c>
      <c r="F34" s="18" t="str">
        <f aca="false">IF(AND('Inspection Log'!X35="",'Inspection Log'!Y35=""),"","On-site: "&amp;IF('Inspection Log'!X35="","NOT SHOWN",'Inspection Log'!X35)&amp;" / 3rd-party: "&amp;IF('Inspection Log'!Y35="","NOT SHOWN",'Inspection Log'!Y35))</f>
        <v/>
      </c>
      <c r="G34" s="18" t="str">
        <f aca="false">IF('Inspection Log'!AF35="","",'Inspection Log'!AF35)</f>
        <v/>
      </c>
      <c r="H34" s="18" t="str">
        <f aca="false">IF('Inspection Log'!AM35="","",'Inspection Log'!AM35)</f>
        <v/>
      </c>
      <c r="I34" s="18" t="str">
        <f aca="false">IF('Inspection Log'!N35="","",'Inspection Log'!N35)</f>
        <v/>
      </c>
      <c r="J34" s="18" t="str">
        <f aca="false">IF('Inspection Log'!AT35="","",'Inspection Log'!AT35)</f>
        <v/>
      </c>
      <c r="K34" s="18" t="str">
        <f aca="false">Scoring!K38</f>
        <v/>
      </c>
      <c r="L34" s="18" t="str">
        <f aca="false">Scoring!Q38</f>
        <v/>
      </c>
      <c r="M34" s="19" t="str">
        <f aca="false">IF('Inspection Log'!D35="","",HYPERLINK('Inspection Log'!D35,'Inspection Log'!D35))</f>
        <v/>
      </c>
      <c r="N34" s="19" t="str">
        <f aca="false">IF('Inspection Log'!AW35="","",HYPERLINK('Inspection Log'!AW35,'Inspection Log'!AW35))</f>
        <v/>
      </c>
      <c r="O34" s="19" t="str">
        <f aca="false">IF('Inspection Log'!AY35="","",HYPERLINK('Inspection Log'!AY35,'Inspection Log'!AY35))</f>
        <v/>
      </c>
    </row>
    <row r="35" customFormat="false" ht="15" hidden="false" customHeight="false" outlineLevel="0" collapsed="false">
      <c r="A35" s="18" t="n">
        <v>34</v>
      </c>
      <c r="B35" s="18" t="str">
        <f aca="false">IF('Inspection Log'!B36="","",'Inspection Log'!B36)</f>
        <v/>
      </c>
      <c r="C35" s="18" t="str">
        <f aca="false">IF('Inspection Log'!L36="","",'Inspection Log'!L36)</f>
        <v/>
      </c>
      <c r="D35" s="18" t="str">
        <f aca="false">IF('Inspection Log'!AO36="","",'Inspection Log'!AO36)</f>
        <v/>
      </c>
      <c r="E35" s="18" t="str">
        <f aca="false">IF('Inspection Log'!V36="","",'Inspection Log'!V36)</f>
        <v/>
      </c>
      <c r="F35" s="18" t="str">
        <f aca="false">IF(AND('Inspection Log'!X36="",'Inspection Log'!Y36=""),"","On-site: "&amp;IF('Inspection Log'!X36="","NOT SHOWN",'Inspection Log'!X36)&amp;" / 3rd-party: "&amp;IF('Inspection Log'!Y36="","NOT SHOWN",'Inspection Log'!Y36))</f>
        <v/>
      </c>
      <c r="G35" s="18" t="str">
        <f aca="false">IF('Inspection Log'!AF36="","",'Inspection Log'!AF36)</f>
        <v/>
      </c>
      <c r="H35" s="18" t="str">
        <f aca="false">IF('Inspection Log'!AM36="","",'Inspection Log'!AM36)</f>
        <v/>
      </c>
      <c r="I35" s="18" t="str">
        <f aca="false">IF('Inspection Log'!N36="","",'Inspection Log'!N36)</f>
        <v/>
      </c>
      <c r="J35" s="18" t="str">
        <f aca="false">IF('Inspection Log'!AT36="","",'Inspection Log'!AT36)</f>
        <v/>
      </c>
      <c r="K35" s="18" t="str">
        <f aca="false">Scoring!K39</f>
        <v/>
      </c>
      <c r="L35" s="18" t="str">
        <f aca="false">Scoring!Q39</f>
        <v/>
      </c>
      <c r="M35" s="19" t="str">
        <f aca="false">IF('Inspection Log'!D36="","",HYPERLINK('Inspection Log'!D36,'Inspection Log'!D36))</f>
        <v/>
      </c>
      <c r="N35" s="19" t="str">
        <f aca="false">IF('Inspection Log'!AW36="","",HYPERLINK('Inspection Log'!AW36,'Inspection Log'!AW36))</f>
        <v/>
      </c>
      <c r="O35" s="19" t="str">
        <f aca="false">IF('Inspection Log'!AY36="","",HYPERLINK('Inspection Log'!AY36,'Inspection Log'!AY36))</f>
        <v/>
      </c>
    </row>
    <row r="36" customFormat="false" ht="15" hidden="false" customHeight="false" outlineLevel="0" collapsed="false">
      <c r="A36" s="18" t="n">
        <v>35</v>
      </c>
      <c r="B36" s="18" t="str">
        <f aca="false">IF('Inspection Log'!B37="","",'Inspection Log'!B37)</f>
        <v/>
      </c>
      <c r="C36" s="18" t="str">
        <f aca="false">IF('Inspection Log'!L37="","",'Inspection Log'!L37)</f>
        <v/>
      </c>
      <c r="D36" s="18" t="str">
        <f aca="false">IF('Inspection Log'!AO37="","",'Inspection Log'!AO37)</f>
        <v/>
      </c>
      <c r="E36" s="18" t="str">
        <f aca="false">IF('Inspection Log'!V37="","",'Inspection Log'!V37)</f>
        <v/>
      </c>
      <c r="F36" s="18" t="str">
        <f aca="false">IF(AND('Inspection Log'!X37="",'Inspection Log'!Y37=""),"","On-site: "&amp;IF('Inspection Log'!X37="","NOT SHOWN",'Inspection Log'!X37)&amp;" / 3rd-party: "&amp;IF('Inspection Log'!Y37="","NOT SHOWN",'Inspection Log'!Y37))</f>
        <v/>
      </c>
      <c r="G36" s="18" t="str">
        <f aca="false">IF('Inspection Log'!AF37="","",'Inspection Log'!AF37)</f>
        <v/>
      </c>
      <c r="H36" s="18" t="str">
        <f aca="false">IF('Inspection Log'!AM37="","",'Inspection Log'!AM37)</f>
        <v/>
      </c>
      <c r="I36" s="18" t="str">
        <f aca="false">IF('Inspection Log'!N37="","",'Inspection Log'!N37)</f>
        <v/>
      </c>
      <c r="J36" s="18" t="str">
        <f aca="false">IF('Inspection Log'!AT37="","",'Inspection Log'!AT37)</f>
        <v/>
      </c>
      <c r="K36" s="18" t="str">
        <f aca="false">Scoring!K40</f>
        <v/>
      </c>
      <c r="L36" s="18" t="str">
        <f aca="false">Scoring!Q40</f>
        <v/>
      </c>
      <c r="M36" s="19" t="str">
        <f aca="false">IF('Inspection Log'!D37="","",HYPERLINK('Inspection Log'!D37,'Inspection Log'!D37))</f>
        <v/>
      </c>
      <c r="N36" s="19" t="str">
        <f aca="false">IF('Inspection Log'!AW37="","",HYPERLINK('Inspection Log'!AW37,'Inspection Log'!AW37))</f>
        <v/>
      </c>
      <c r="O36" s="19" t="str">
        <f aca="false">IF('Inspection Log'!AY37="","",HYPERLINK('Inspection Log'!AY37,'Inspection Log'!AY37))</f>
        <v/>
      </c>
    </row>
    <row r="37" customFormat="false" ht="15" hidden="false" customHeight="false" outlineLevel="0" collapsed="false">
      <c r="A37" s="18" t="n">
        <v>36</v>
      </c>
      <c r="B37" s="18" t="str">
        <f aca="false">IF('Inspection Log'!B38="","",'Inspection Log'!B38)</f>
        <v/>
      </c>
      <c r="C37" s="18" t="str">
        <f aca="false">IF('Inspection Log'!L38="","",'Inspection Log'!L38)</f>
        <v/>
      </c>
      <c r="D37" s="18" t="str">
        <f aca="false">IF('Inspection Log'!AO38="","",'Inspection Log'!AO38)</f>
        <v/>
      </c>
      <c r="E37" s="18" t="str">
        <f aca="false">IF('Inspection Log'!V38="","",'Inspection Log'!V38)</f>
        <v/>
      </c>
      <c r="F37" s="18" t="str">
        <f aca="false">IF(AND('Inspection Log'!X38="",'Inspection Log'!Y38=""),"","On-site: "&amp;IF('Inspection Log'!X38="","NOT SHOWN",'Inspection Log'!X38)&amp;" / 3rd-party: "&amp;IF('Inspection Log'!Y38="","NOT SHOWN",'Inspection Log'!Y38))</f>
        <v/>
      </c>
      <c r="G37" s="18" t="str">
        <f aca="false">IF('Inspection Log'!AF38="","",'Inspection Log'!AF38)</f>
        <v/>
      </c>
      <c r="H37" s="18" t="str">
        <f aca="false">IF('Inspection Log'!AM38="","",'Inspection Log'!AM38)</f>
        <v/>
      </c>
      <c r="I37" s="18" t="str">
        <f aca="false">IF('Inspection Log'!N38="","",'Inspection Log'!N38)</f>
        <v/>
      </c>
      <c r="J37" s="18" t="str">
        <f aca="false">IF('Inspection Log'!AT38="","",'Inspection Log'!AT38)</f>
        <v/>
      </c>
      <c r="K37" s="18" t="str">
        <f aca="false">Scoring!K41</f>
        <v/>
      </c>
      <c r="L37" s="18" t="str">
        <f aca="false">Scoring!Q41</f>
        <v/>
      </c>
      <c r="M37" s="19" t="str">
        <f aca="false">IF('Inspection Log'!D38="","",HYPERLINK('Inspection Log'!D38,'Inspection Log'!D38))</f>
        <v/>
      </c>
      <c r="N37" s="19" t="str">
        <f aca="false">IF('Inspection Log'!AW38="","",HYPERLINK('Inspection Log'!AW38,'Inspection Log'!AW38))</f>
        <v/>
      </c>
      <c r="O37" s="19" t="str">
        <f aca="false">IF('Inspection Log'!AY38="","",HYPERLINK('Inspection Log'!AY38,'Inspection Log'!AY38))</f>
        <v/>
      </c>
    </row>
    <row r="38" customFormat="false" ht="15" hidden="false" customHeight="false" outlineLevel="0" collapsed="false">
      <c r="A38" s="18" t="n">
        <v>37</v>
      </c>
      <c r="B38" s="18" t="str">
        <f aca="false">IF('Inspection Log'!B39="","",'Inspection Log'!B39)</f>
        <v/>
      </c>
      <c r="C38" s="18" t="str">
        <f aca="false">IF('Inspection Log'!L39="","",'Inspection Log'!L39)</f>
        <v/>
      </c>
      <c r="D38" s="18" t="str">
        <f aca="false">IF('Inspection Log'!AO39="","",'Inspection Log'!AO39)</f>
        <v/>
      </c>
      <c r="E38" s="18" t="str">
        <f aca="false">IF('Inspection Log'!V39="","",'Inspection Log'!V39)</f>
        <v/>
      </c>
      <c r="F38" s="18" t="str">
        <f aca="false">IF(AND('Inspection Log'!X39="",'Inspection Log'!Y39=""),"","On-site: "&amp;IF('Inspection Log'!X39="","NOT SHOWN",'Inspection Log'!X39)&amp;" / 3rd-party: "&amp;IF('Inspection Log'!Y39="","NOT SHOWN",'Inspection Log'!Y39))</f>
        <v/>
      </c>
      <c r="G38" s="18" t="str">
        <f aca="false">IF('Inspection Log'!AF39="","",'Inspection Log'!AF39)</f>
        <v/>
      </c>
      <c r="H38" s="18" t="str">
        <f aca="false">IF('Inspection Log'!AM39="","",'Inspection Log'!AM39)</f>
        <v/>
      </c>
      <c r="I38" s="18" t="str">
        <f aca="false">IF('Inspection Log'!N39="","",'Inspection Log'!N39)</f>
        <v/>
      </c>
      <c r="J38" s="18" t="str">
        <f aca="false">IF('Inspection Log'!AT39="","",'Inspection Log'!AT39)</f>
        <v/>
      </c>
      <c r="K38" s="18" t="str">
        <f aca="false">Scoring!K42</f>
        <v/>
      </c>
      <c r="L38" s="18" t="str">
        <f aca="false">Scoring!Q42</f>
        <v/>
      </c>
      <c r="M38" s="19" t="str">
        <f aca="false">IF('Inspection Log'!D39="","",HYPERLINK('Inspection Log'!D39,'Inspection Log'!D39))</f>
        <v/>
      </c>
      <c r="N38" s="19" t="str">
        <f aca="false">IF('Inspection Log'!AW39="","",HYPERLINK('Inspection Log'!AW39,'Inspection Log'!AW39))</f>
        <v/>
      </c>
      <c r="O38" s="19" t="str">
        <f aca="false">IF('Inspection Log'!AY39="","",HYPERLINK('Inspection Log'!AY39,'Inspection Log'!AY39))</f>
        <v/>
      </c>
    </row>
    <row r="39" customFormat="false" ht="15" hidden="false" customHeight="false" outlineLevel="0" collapsed="false">
      <c r="A39" s="18" t="n">
        <v>38</v>
      </c>
      <c r="B39" s="18" t="str">
        <f aca="false">IF('Inspection Log'!B40="","",'Inspection Log'!B40)</f>
        <v/>
      </c>
      <c r="C39" s="18" t="str">
        <f aca="false">IF('Inspection Log'!L40="","",'Inspection Log'!L40)</f>
        <v/>
      </c>
      <c r="D39" s="18" t="str">
        <f aca="false">IF('Inspection Log'!AO40="","",'Inspection Log'!AO40)</f>
        <v/>
      </c>
      <c r="E39" s="18" t="str">
        <f aca="false">IF('Inspection Log'!V40="","",'Inspection Log'!V40)</f>
        <v/>
      </c>
      <c r="F39" s="18" t="str">
        <f aca="false">IF(AND('Inspection Log'!X40="",'Inspection Log'!Y40=""),"","On-site: "&amp;IF('Inspection Log'!X40="","NOT SHOWN",'Inspection Log'!X40)&amp;" / 3rd-party: "&amp;IF('Inspection Log'!Y40="","NOT SHOWN",'Inspection Log'!Y40))</f>
        <v/>
      </c>
      <c r="G39" s="18" t="str">
        <f aca="false">IF('Inspection Log'!AF40="","",'Inspection Log'!AF40)</f>
        <v/>
      </c>
      <c r="H39" s="18" t="str">
        <f aca="false">IF('Inspection Log'!AM40="","",'Inspection Log'!AM40)</f>
        <v/>
      </c>
      <c r="I39" s="18" t="str">
        <f aca="false">IF('Inspection Log'!N40="","",'Inspection Log'!N40)</f>
        <v/>
      </c>
      <c r="J39" s="18" t="str">
        <f aca="false">IF('Inspection Log'!AT40="","",'Inspection Log'!AT40)</f>
        <v/>
      </c>
      <c r="K39" s="18" t="str">
        <f aca="false">Scoring!K43</f>
        <v/>
      </c>
      <c r="L39" s="18" t="str">
        <f aca="false">Scoring!Q43</f>
        <v/>
      </c>
      <c r="M39" s="19" t="str">
        <f aca="false">IF('Inspection Log'!D40="","",HYPERLINK('Inspection Log'!D40,'Inspection Log'!D40))</f>
        <v/>
      </c>
      <c r="N39" s="19" t="str">
        <f aca="false">IF('Inspection Log'!AW40="","",HYPERLINK('Inspection Log'!AW40,'Inspection Log'!AW40))</f>
        <v/>
      </c>
      <c r="O39" s="19" t="str">
        <f aca="false">IF('Inspection Log'!AY40="","",HYPERLINK('Inspection Log'!AY40,'Inspection Log'!AY40))</f>
        <v/>
      </c>
    </row>
    <row r="40" customFormat="false" ht="15" hidden="false" customHeight="false" outlineLevel="0" collapsed="false">
      <c r="A40" s="18" t="n">
        <v>39</v>
      </c>
      <c r="B40" s="18" t="str">
        <f aca="false">IF('Inspection Log'!B41="","",'Inspection Log'!B41)</f>
        <v/>
      </c>
      <c r="C40" s="18" t="str">
        <f aca="false">IF('Inspection Log'!L41="","",'Inspection Log'!L41)</f>
        <v/>
      </c>
      <c r="D40" s="18" t="str">
        <f aca="false">IF('Inspection Log'!AO41="","",'Inspection Log'!AO41)</f>
        <v/>
      </c>
      <c r="E40" s="18" t="str">
        <f aca="false">IF('Inspection Log'!V41="","",'Inspection Log'!V41)</f>
        <v/>
      </c>
      <c r="F40" s="18" t="str">
        <f aca="false">IF(AND('Inspection Log'!X41="",'Inspection Log'!Y41=""),"","On-site: "&amp;IF('Inspection Log'!X41="","NOT SHOWN",'Inspection Log'!X41)&amp;" / 3rd-party: "&amp;IF('Inspection Log'!Y41="","NOT SHOWN",'Inspection Log'!Y41))</f>
        <v/>
      </c>
      <c r="G40" s="18" t="str">
        <f aca="false">IF('Inspection Log'!AF41="","",'Inspection Log'!AF41)</f>
        <v/>
      </c>
      <c r="H40" s="18" t="str">
        <f aca="false">IF('Inspection Log'!AM41="","",'Inspection Log'!AM41)</f>
        <v/>
      </c>
      <c r="I40" s="18" t="str">
        <f aca="false">IF('Inspection Log'!N41="","",'Inspection Log'!N41)</f>
        <v/>
      </c>
      <c r="J40" s="18" t="str">
        <f aca="false">IF('Inspection Log'!AT41="","",'Inspection Log'!AT41)</f>
        <v/>
      </c>
      <c r="K40" s="18" t="str">
        <f aca="false">Scoring!K44</f>
        <v/>
      </c>
      <c r="L40" s="18" t="str">
        <f aca="false">Scoring!Q44</f>
        <v/>
      </c>
      <c r="M40" s="19" t="str">
        <f aca="false">IF('Inspection Log'!D41="","",HYPERLINK('Inspection Log'!D41,'Inspection Log'!D41))</f>
        <v/>
      </c>
      <c r="N40" s="19" t="str">
        <f aca="false">IF('Inspection Log'!AW41="","",HYPERLINK('Inspection Log'!AW41,'Inspection Log'!AW41))</f>
        <v/>
      </c>
      <c r="O40" s="19" t="str">
        <f aca="false">IF('Inspection Log'!AY41="","",HYPERLINK('Inspection Log'!AY41,'Inspection Log'!AY41))</f>
        <v/>
      </c>
    </row>
    <row r="41" customFormat="false" ht="15" hidden="false" customHeight="false" outlineLevel="0" collapsed="false">
      <c r="A41" s="18" t="n">
        <v>40</v>
      </c>
      <c r="B41" s="18" t="str">
        <f aca="false">IF('Inspection Log'!B42="","",'Inspection Log'!B42)</f>
        <v/>
      </c>
      <c r="C41" s="18" t="str">
        <f aca="false">IF('Inspection Log'!L42="","",'Inspection Log'!L42)</f>
        <v/>
      </c>
      <c r="D41" s="18" t="str">
        <f aca="false">IF('Inspection Log'!AO42="","",'Inspection Log'!AO42)</f>
        <v/>
      </c>
      <c r="E41" s="18" t="str">
        <f aca="false">IF('Inspection Log'!V42="","",'Inspection Log'!V42)</f>
        <v/>
      </c>
      <c r="F41" s="18" t="str">
        <f aca="false">IF(AND('Inspection Log'!X42="",'Inspection Log'!Y42=""),"","On-site: "&amp;IF('Inspection Log'!X42="","NOT SHOWN",'Inspection Log'!X42)&amp;" / 3rd-party: "&amp;IF('Inspection Log'!Y42="","NOT SHOWN",'Inspection Log'!Y42))</f>
        <v/>
      </c>
      <c r="G41" s="18" t="str">
        <f aca="false">IF('Inspection Log'!AF42="","",'Inspection Log'!AF42)</f>
        <v/>
      </c>
      <c r="H41" s="18" t="str">
        <f aca="false">IF('Inspection Log'!AM42="","",'Inspection Log'!AM42)</f>
        <v/>
      </c>
      <c r="I41" s="18" t="str">
        <f aca="false">IF('Inspection Log'!N42="","",'Inspection Log'!N42)</f>
        <v/>
      </c>
      <c r="J41" s="18" t="str">
        <f aca="false">IF('Inspection Log'!AT42="","",'Inspection Log'!AT42)</f>
        <v/>
      </c>
      <c r="K41" s="18" t="str">
        <f aca="false">Scoring!K45</f>
        <v/>
      </c>
      <c r="L41" s="18" t="str">
        <f aca="false">Scoring!Q45</f>
        <v/>
      </c>
      <c r="M41" s="19" t="str">
        <f aca="false">IF('Inspection Log'!D42="","",HYPERLINK('Inspection Log'!D42,'Inspection Log'!D42))</f>
        <v/>
      </c>
      <c r="N41" s="19" t="str">
        <f aca="false">IF('Inspection Log'!AW42="","",HYPERLINK('Inspection Log'!AW42,'Inspection Log'!AW42))</f>
        <v/>
      </c>
      <c r="O41" s="19" t="str">
        <f aca="false">IF('Inspection Log'!AY42="","",HYPERLINK('Inspection Log'!AY42,'Inspection Log'!AY42))</f>
        <v/>
      </c>
    </row>
    <row r="42" customFormat="false" ht="15" hidden="false" customHeight="false" outlineLevel="0" collapsed="false">
      <c r="A42" s="18" t="n">
        <v>41</v>
      </c>
      <c r="B42" s="18" t="str">
        <f aca="false">IF('Inspection Log'!B43="","",'Inspection Log'!B43)</f>
        <v/>
      </c>
      <c r="C42" s="18" t="str">
        <f aca="false">IF('Inspection Log'!L43="","",'Inspection Log'!L43)</f>
        <v/>
      </c>
      <c r="D42" s="18" t="str">
        <f aca="false">IF('Inspection Log'!AO43="","",'Inspection Log'!AO43)</f>
        <v/>
      </c>
      <c r="E42" s="18" t="str">
        <f aca="false">IF('Inspection Log'!V43="","",'Inspection Log'!V43)</f>
        <v/>
      </c>
      <c r="F42" s="18" t="str">
        <f aca="false">IF(AND('Inspection Log'!X43="",'Inspection Log'!Y43=""),"","On-site: "&amp;IF('Inspection Log'!X43="","NOT SHOWN",'Inspection Log'!X43)&amp;" / 3rd-party: "&amp;IF('Inspection Log'!Y43="","NOT SHOWN",'Inspection Log'!Y43))</f>
        <v/>
      </c>
      <c r="G42" s="18" t="str">
        <f aca="false">IF('Inspection Log'!AF43="","",'Inspection Log'!AF43)</f>
        <v/>
      </c>
      <c r="H42" s="18" t="str">
        <f aca="false">IF('Inspection Log'!AM43="","",'Inspection Log'!AM43)</f>
        <v/>
      </c>
      <c r="I42" s="18" t="str">
        <f aca="false">IF('Inspection Log'!N43="","",'Inspection Log'!N43)</f>
        <v/>
      </c>
      <c r="J42" s="18" t="str">
        <f aca="false">IF('Inspection Log'!AT43="","",'Inspection Log'!AT43)</f>
        <v/>
      </c>
      <c r="K42" s="18" t="str">
        <f aca="false">Scoring!K46</f>
        <v/>
      </c>
      <c r="L42" s="18" t="str">
        <f aca="false">Scoring!Q46</f>
        <v/>
      </c>
      <c r="M42" s="19" t="str">
        <f aca="false">IF('Inspection Log'!D43="","",HYPERLINK('Inspection Log'!D43,'Inspection Log'!D43))</f>
        <v/>
      </c>
      <c r="N42" s="19" t="str">
        <f aca="false">IF('Inspection Log'!AW43="","",HYPERLINK('Inspection Log'!AW43,'Inspection Log'!AW43))</f>
        <v/>
      </c>
      <c r="O42" s="19" t="str">
        <f aca="false">IF('Inspection Log'!AY43="","",HYPERLINK('Inspection Log'!AY43,'Inspection Log'!AY43))</f>
        <v/>
      </c>
    </row>
    <row r="43" customFormat="false" ht="15" hidden="false" customHeight="false" outlineLevel="0" collapsed="false">
      <c r="A43" s="18" t="n">
        <v>42</v>
      </c>
      <c r="B43" s="18" t="str">
        <f aca="false">IF('Inspection Log'!B44="","",'Inspection Log'!B44)</f>
        <v/>
      </c>
      <c r="C43" s="18" t="str">
        <f aca="false">IF('Inspection Log'!L44="","",'Inspection Log'!L44)</f>
        <v/>
      </c>
      <c r="D43" s="18" t="str">
        <f aca="false">IF('Inspection Log'!AO44="","",'Inspection Log'!AO44)</f>
        <v/>
      </c>
      <c r="E43" s="18" t="str">
        <f aca="false">IF('Inspection Log'!V44="","",'Inspection Log'!V44)</f>
        <v/>
      </c>
      <c r="F43" s="18" t="str">
        <f aca="false">IF(AND('Inspection Log'!X44="",'Inspection Log'!Y44=""),"","On-site: "&amp;IF('Inspection Log'!X44="","NOT SHOWN",'Inspection Log'!X44)&amp;" / 3rd-party: "&amp;IF('Inspection Log'!Y44="","NOT SHOWN",'Inspection Log'!Y44))</f>
        <v/>
      </c>
      <c r="G43" s="18" t="str">
        <f aca="false">IF('Inspection Log'!AF44="","",'Inspection Log'!AF44)</f>
        <v/>
      </c>
      <c r="H43" s="18" t="str">
        <f aca="false">IF('Inspection Log'!AM44="","",'Inspection Log'!AM44)</f>
        <v/>
      </c>
      <c r="I43" s="18" t="str">
        <f aca="false">IF('Inspection Log'!N44="","",'Inspection Log'!N44)</f>
        <v/>
      </c>
      <c r="J43" s="18" t="str">
        <f aca="false">IF('Inspection Log'!AT44="","",'Inspection Log'!AT44)</f>
        <v/>
      </c>
      <c r="K43" s="18" t="str">
        <f aca="false">Scoring!K47</f>
        <v/>
      </c>
      <c r="L43" s="18" t="str">
        <f aca="false">Scoring!Q47</f>
        <v/>
      </c>
      <c r="M43" s="19" t="str">
        <f aca="false">IF('Inspection Log'!D44="","",HYPERLINK('Inspection Log'!D44,'Inspection Log'!D44))</f>
        <v/>
      </c>
      <c r="N43" s="19" t="str">
        <f aca="false">IF('Inspection Log'!AW44="","",HYPERLINK('Inspection Log'!AW44,'Inspection Log'!AW44))</f>
        <v/>
      </c>
      <c r="O43" s="19" t="str">
        <f aca="false">IF('Inspection Log'!AY44="","",HYPERLINK('Inspection Log'!AY44,'Inspection Log'!AY44))</f>
        <v/>
      </c>
    </row>
    <row r="44" customFormat="false" ht="15" hidden="false" customHeight="false" outlineLevel="0" collapsed="false">
      <c r="A44" s="18" t="n">
        <v>43</v>
      </c>
      <c r="B44" s="18" t="str">
        <f aca="false">IF('Inspection Log'!B45="","",'Inspection Log'!B45)</f>
        <v/>
      </c>
      <c r="C44" s="18" t="str">
        <f aca="false">IF('Inspection Log'!L45="","",'Inspection Log'!L45)</f>
        <v/>
      </c>
      <c r="D44" s="18" t="str">
        <f aca="false">IF('Inspection Log'!AO45="","",'Inspection Log'!AO45)</f>
        <v/>
      </c>
      <c r="E44" s="18" t="str">
        <f aca="false">IF('Inspection Log'!V45="","",'Inspection Log'!V45)</f>
        <v/>
      </c>
      <c r="F44" s="18" t="str">
        <f aca="false">IF(AND('Inspection Log'!X45="",'Inspection Log'!Y45=""),"","On-site: "&amp;IF('Inspection Log'!X45="","NOT SHOWN",'Inspection Log'!X45)&amp;" / 3rd-party: "&amp;IF('Inspection Log'!Y45="","NOT SHOWN",'Inspection Log'!Y45))</f>
        <v/>
      </c>
      <c r="G44" s="18" t="str">
        <f aca="false">IF('Inspection Log'!AF45="","",'Inspection Log'!AF45)</f>
        <v/>
      </c>
      <c r="H44" s="18" t="str">
        <f aca="false">IF('Inspection Log'!AM45="","",'Inspection Log'!AM45)</f>
        <v/>
      </c>
      <c r="I44" s="18" t="str">
        <f aca="false">IF('Inspection Log'!N45="","",'Inspection Log'!N45)</f>
        <v/>
      </c>
      <c r="J44" s="18" t="str">
        <f aca="false">IF('Inspection Log'!AT45="","",'Inspection Log'!AT45)</f>
        <v/>
      </c>
      <c r="K44" s="18" t="str">
        <f aca="false">Scoring!K48</f>
        <v/>
      </c>
      <c r="L44" s="18" t="str">
        <f aca="false">Scoring!Q48</f>
        <v/>
      </c>
      <c r="M44" s="19" t="str">
        <f aca="false">IF('Inspection Log'!D45="","",HYPERLINK('Inspection Log'!D45,'Inspection Log'!D45))</f>
        <v/>
      </c>
      <c r="N44" s="19" t="str">
        <f aca="false">IF('Inspection Log'!AW45="","",HYPERLINK('Inspection Log'!AW45,'Inspection Log'!AW45))</f>
        <v/>
      </c>
      <c r="O44" s="19" t="str">
        <f aca="false">IF('Inspection Log'!AY45="","",HYPERLINK('Inspection Log'!AY45,'Inspection Log'!AY45))</f>
        <v/>
      </c>
    </row>
    <row r="45" customFormat="false" ht="15" hidden="false" customHeight="false" outlineLevel="0" collapsed="false">
      <c r="A45" s="18" t="n">
        <v>44</v>
      </c>
      <c r="B45" s="18" t="str">
        <f aca="false">IF('Inspection Log'!B46="","",'Inspection Log'!B46)</f>
        <v/>
      </c>
      <c r="C45" s="18" t="str">
        <f aca="false">IF('Inspection Log'!L46="","",'Inspection Log'!L46)</f>
        <v/>
      </c>
      <c r="D45" s="18" t="str">
        <f aca="false">IF('Inspection Log'!AO46="","",'Inspection Log'!AO46)</f>
        <v/>
      </c>
      <c r="E45" s="18" t="str">
        <f aca="false">IF('Inspection Log'!V46="","",'Inspection Log'!V46)</f>
        <v/>
      </c>
      <c r="F45" s="18" t="str">
        <f aca="false">IF(AND('Inspection Log'!X46="",'Inspection Log'!Y46=""),"","On-site: "&amp;IF('Inspection Log'!X46="","NOT SHOWN",'Inspection Log'!X46)&amp;" / 3rd-party: "&amp;IF('Inspection Log'!Y46="","NOT SHOWN",'Inspection Log'!Y46))</f>
        <v/>
      </c>
      <c r="G45" s="18" t="str">
        <f aca="false">IF('Inspection Log'!AF46="","",'Inspection Log'!AF46)</f>
        <v/>
      </c>
      <c r="H45" s="18" t="str">
        <f aca="false">IF('Inspection Log'!AM46="","",'Inspection Log'!AM46)</f>
        <v/>
      </c>
      <c r="I45" s="18" t="str">
        <f aca="false">IF('Inspection Log'!N46="","",'Inspection Log'!N46)</f>
        <v/>
      </c>
      <c r="J45" s="18" t="str">
        <f aca="false">IF('Inspection Log'!AT46="","",'Inspection Log'!AT46)</f>
        <v/>
      </c>
      <c r="K45" s="18" t="str">
        <f aca="false">Scoring!K49</f>
        <v/>
      </c>
      <c r="L45" s="18" t="str">
        <f aca="false">Scoring!Q49</f>
        <v/>
      </c>
      <c r="M45" s="19" t="str">
        <f aca="false">IF('Inspection Log'!D46="","",HYPERLINK('Inspection Log'!D46,'Inspection Log'!D46))</f>
        <v/>
      </c>
      <c r="N45" s="19" t="str">
        <f aca="false">IF('Inspection Log'!AW46="","",HYPERLINK('Inspection Log'!AW46,'Inspection Log'!AW46))</f>
        <v/>
      </c>
      <c r="O45" s="19" t="str">
        <f aca="false">IF('Inspection Log'!AY46="","",HYPERLINK('Inspection Log'!AY46,'Inspection Log'!AY46))</f>
        <v/>
      </c>
    </row>
    <row r="46" customFormat="false" ht="15" hidden="false" customHeight="false" outlineLevel="0" collapsed="false">
      <c r="A46" s="18" t="n">
        <v>45</v>
      </c>
      <c r="B46" s="18" t="str">
        <f aca="false">IF('Inspection Log'!B47="","",'Inspection Log'!B47)</f>
        <v/>
      </c>
      <c r="C46" s="18" t="str">
        <f aca="false">IF('Inspection Log'!L47="","",'Inspection Log'!L47)</f>
        <v/>
      </c>
      <c r="D46" s="18" t="str">
        <f aca="false">IF('Inspection Log'!AO47="","",'Inspection Log'!AO47)</f>
        <v/>
      </c>
      <c r="E46" s="18" t="str">
        <f aca="false">IF('Inspection Log'!V47="","",'Inspection Log'!V47)</f>
        <v/>
      </c>
      <c r="F46" s="18" t="str">
        <f aca="false">IF(AND('Inspection Log'!X47="",'Inspection Log'!Y47=""),"","On-site: "&amp;IF('Inspection Log'!X47="","NOT SHOWN",'Inspection Log'!X47)&amp;" / 3rd-party: "&amp;IF('Inspection Log'!Y47="","NOT SHOWN",'Inspection Log'!Y47))</f>
        <v/>
      </c>
      <c r="G46" s="18" t="str">
        <f aca="false">IF('Inspection Log'!AF47="","",'Inspection Log'!AF47)</f>
        <v/>
      </c>
      <c r="H46" s="18" t="str">
        <f aca="false">IF('Inspection Log'!AM47="","",'Inspection Log'!AM47)</f>
        <v/>
      </c>
      <c r="I46" s="18" t="str">
        <f aca="false">IF('Inspection Log'!N47="","",'Inspection Log'!N47)</f>
        <v/>
      </c>
      <c r="J46" s="18" t="str">
        <f aca="false">IF('Inspection Log'!AT47="","",'Inspection Log'!AT47)</f>
        <v/>
      </c>
      <c r="K46" s="18" t="str">
        <f aca="false">Scoring!K50</f>
        <v/>
      </c>
      <c r="L46" s="18" t="str">
        <f aca="false">Scoring!Q50</f>
        <v/>
      </c>
      <c r="M46" s="19" t="str">
        <f aca="false">IF('Inspection Log'!D47="","",HYPERLINK('Inspection Log'!D47,'Inspection Log'!D47))</f>
        <v/>
      </c>
      <c r="N46" s="19" t="str">
        <f aca="false">IF('Inspection Log'!AW47="","",HYPERLINK('Inspection Log'!AW47,'Inspection Log'!AW47))</f>
        <v/>
      </c>
      <c r="O46" s="19" t="str">
        <f aca="false">IF('Inspection Log'!AY47="","",HYPERLINK('Inspection Log'!AY47,'Inspection Log'!AY47))</f>
        <v/>
      </c>
    </row>
    <row r="47" customFormat="false" ht="15" hidden="false" customHeight="false" outlineLevel="0" collapsed="false">
      <c r="A47" s="18" t="n">
        <v>46</v>
      </c>
      <c r="B47" s="18" t="str">
        <f aca="false">IF('Inspection Log'!B48="","",'Inspection Log'!B48)</f>
        <v/>
      </c>
      <c r="C47" s="18" t="str">
        <f aca="false">IF('Inspection Log'!L48="","",'Inspection Log'!L48)</f>
        <v/>
      </c>
      <c r="D47" s="18" t="str">
        <f aca="false">IF('Inspection Log'!AO48="","",'Inspection Log'!AO48)</f>
        <v/>
      </c>
      <c r="E47" s="18" t="str">
        <f aca="false">IF('Inspection Log'!V48="","",'Inspection Log'!V48)</f>
        <v/>
      </c>
      <c r="F47" s="18" t="str">
        <f aca="false">IF(AND('Inspection Log'!X48="",'Inspection Log'!Y48=""),"","On-site: "&amp;IF('Inspection Log'!X48="","NOT SHOWN",'Inspection Log'!X48)&amp;" / 3rd-party: "&amp;IF('Inspection Log'!Y48="","NOT SHOWN",'Inspection Log'!Y48))</f>
        <v/>
      </c>
      <c r="G47" s="18" t="str">
        <f aca="false">IF('Inspection Log'!AF48="","",'Inspection Log'!AF48)</f>
        <v/>
      </c>
      <c r="H47" s="18" t="str">
        <f aca="false">IF('Inspection Log'!AM48="","",'Inspection Log'!AM48)</f>
        <v/>
      </c>
      <c r="I47" s="18" t="str">
        <f aca="false">IF('Inspection Log'!N48="","",'Inspection Log'!N48)</f>
        <v/>
      </c>
      <c r="J47" s="18" t="str">
        <f aca="false">IF('Inspection Log'!AT48="","",'Inspection Log'!AT48)</f>
        <v/>
      </c>
      <c r="K47" s="18" t="str">
        <f aca="false">Scoring!K51</f>
        <v/>
      </c>
      <c r="L47" s="18" t="str">
        <f aca="false">Scoring!Q51</f>
        <v/>
      </c>
      <c r="M47" s="19" t="str">
        <f aca="false">IF('Inspection Log'!D48="","",HYPERLINK('Inspection Log'!D48,'Inspection Log'!D48))</f>
        <v/>
      </c>
      <c r="N47" s="19" t="str">
        <f aca="false">IF('Inspection Log'!AW48="","",HYPERLINK('Inspection Log'!AW48,'Inspection Log'!AW48))</f>
        <v/>
      </c>
      <c r="O47" s="19" t="str">
        <f aca="false">IF('Inspection Log'!AY48="","",HYPERLINK('Inspection Log'!AY48,'Inspection Log'!AY48))</f>
        <v/>
      </c>
    </row>
    <row r="48" customFormat="false" ht="15" hidden="false" customHeight="false" outlineLevel="0" collapsed="false">
      <c r="A48" s="18" t="n">
        <v>47</v>
      </c>
      <c r="B48" s="18" t="str">
        <f aca="false">IF('Inspection Log'!B49="","",'Inspection Log'!B49)</f>
        <v/>
      </c>
      <c r="C48" s="18" t="str">
        <f aca="false">IF('Inspection Log'!L49="","",'Inspection Log'!L49)</f>
        <v/>
      </c>
      <c r="D48" s="18" t="str">
        <f aca="false">IF('Inspection Log'!AO49="","",'Inspection Log'!AO49)</f>
        <v/>
      </c>
      <c r="E48" s="18" t="str">
        <f aca="false">IF('Inspection Log'!V49="","",'Inspection Log'!V49)</f>
        <v/>
      </c>
      <c r="F48" s="18" t="str">
        <f aca="false">IF(AND('Inspection Log'!X49="",'Inspection Log'!Y49=""),"","On-site: "&amp;IF('Inspection Log'!X49="","NOT SHOWN",'Inspection Log'!X49)&amp;" / 3rd-party: "&amp;IF('Inspection Log'!Y49="","NOT SHOWN",'Inspection Log'!Y49))</f>
        <v/>
      </c>
      <c r="G48" s="18" t="str">
        <f aca="false">IF('Inspection Log'!AF49="","",'Inspection Log'!AF49)</f>
        <v/>
      </c>
      <c r="H48" s="18" t="str">
        <f aca="false">IF('Inspection Log'!AM49="","",'Inspection Log'!AM49)</f>
        <v/>
      </c>
      <c r="I48" s="18" t="str">
        <f aca="false">IF('Inspection Log'!N49="","",'Inspection Log'!N49)</f>
        <v/>
      </c>
      <c r="J48" s="18" t="str">
        <f aca="false">IF('Inspection Log'!AT49="","",'Inspection Log'!AT49)</f>
        <v/>
      </c>
      <c r="K48" s="18" t="str">
        <f aca="false">Scoring!K52</f>
        <v/>
      </c>
      <c r="L48" s="18" t="str">
        <f aca="false">Scoring!Q52</f>
        <v/>
      </c>
      <c r="M48" s="19" t="str">
        <f aca="false">IF('Inspection Log'!D49="","",HYPERLINK('Inspection Log'!D49,'Inspection Log'!D49))</f>
        <v/>
      </c>
      <c r="N48" s="19" t="str">
        <f aca="false">IF('Inspection Log'!AW49="","",HYPERLINK('Inspection Log'!AW49,'Inspection Log'!AW49))</f>
        <v/>
      </c>
      <c r="O48" s="19" t="str">
        <f aca="false">IF('Inspection Log'!AY49="","",HYPERLINK('Inspection Log'!AY49,'Inspection Log'!AY49))</f>
        <v/>
      </c>
    </row>
    <row r="49" customFormat="false" ht="15" hidden="false" customHeight="false" outlineLevel="0" collapsed="false">
      <c r="A49" s="18" t="n">
        <v>48</v>
      </c>
      <c r="B49" s="18" t="str">
        <f aca="false">IF('Inspection Log'!B50="","",'Inspection Log'!B50)</f>
        <v/>
      </c>
      <c r="C49" s="18" t="str">
        <f aca="false">IF('Inspection Log'!L50="","",'Inspection Log'!L50)</f>
        <v/>
      </c>
      <c r="D49" s="18" t="str">
        <f aca="false">IF('Inspection Log'!AO50="","",'Inspection Log'!AO50)</f>
        <v/>
      </c>
      <c r="E49" s="18" t="str">
        <f aca="false">IF('Inspection Log'!V50="","",'Inspection Log'!V50)</f>
        <v/>
      </c>
      <c r="F49" s="18" t="str">
        <f aca="false">IF(AND('Inspection Log'!X50="",'Inspection Log'!Y50=""),"","On-site: "&amp;IF('Inspection Log'!X50="","NOT SHOWN",'Inspection Log'!X50)&amp;" / 3rd-party: "&amp;IF('Inspection Log'!Y50="","NOT SHOWN",'Inspection Log'!Y50))</f>
        <v/>
      </c>
      <c r="G49" s="18" t="str">
        <f aca="false">IF('Inspection Log'!AF50="","",'Inspection Log'!AF50)</f>
        <v/>
      </c>
      <c r="H49" s="18" t="str">
        <f aca="false">IF('Inspection Log'!AM50="","",'Inspection Log'!AM50)</f>
        <v/>
      </c>
      <c r="I49" s="18" t="str">
        <f aca="false">IF('Inspection Log'!N50="","",'Inspection Log'!N50)</f>
        <v/>
      </c>
      <c r="J49" s="18" t="str">
        <f aca="false">IF('Inspection Log'!AT50="","",'Inspection Log'!AT50)</f>
        <v/>
      </c>
      <c r="K49" s="18" t="str">
        <f aca="false">Scoring!K53</f>
        <v/>
      </c>
      <c r="L49" s="18" t="str">
        <f aca="false">Scoring!Q53</f>
        <v/>
      </c>
      <c r="M49" s="19" t="str">
        <f aca="false">IF('Inspection Log'!D50="","",HYPERLINK('Inspection Log'!D50,'Inspection Log'!D50))</f>
        <v/>
      </c>
      <c r="N49" s="19" t="str">
        <f aca="false">IF('Inspection Log'!AW50="","",HYPERLINK('Inspection Log'!AW50,'Inspection Log'!AW50))</f>
        <v/>
      </c>
      <c r="O49" s="19" t="str">
        <f aca="false">IF('Inspection Log'!AY50="","",HYPERLINK('Inspection Log'!AY50,'Inspection Log'!AY50))</f>
        <v/>
      </c>
    </row>
    <row r="50" customFormat="false" ht="15" hidden="false" customHeight="false" outlineLevel="0" collapsed="false">
      <c r="A50" s="18" t="n">
        <v>49</v>
      </c>
      <c r="B50" s="18" t="str">
        <f aca="false">IF('Inspection Log'!B51="","",'Inspection Log'!B51)</f>
        <v/>
      </c>
      <c r="C50" s="18" t="str">
        <f aca="false">IF('Inspection Log'!L51="","",'Inspection Log'!L51)</f>
        <v/>
      </c>
      <c r="D50" s="18" t="str">
        <f aca="false">IF('Inspection Log'!AO51="","",'Inspection Log'!AO51)</f>
        <v/>
      </c>
      <c r="E50" s="18" t="str">
        <f aca="false">IF('Inspection Log'!V51="","",'Inspection Log'!V51)</f>
        <v/>
      </c>
      <c r="F50" s="18" t="str">
        <f aca="false">IF(AND('Inspection Log'!X51="",'Inspection Log'!Y51=""),"","On-site: "&amp;IF('Inspection Log'!X51="","NOT SHOWN",'Inspection Log'!X51)&amp;" / 3rd-party: "&amp;IF('Inspection Log'!Y51="","NOT SHOWN",'Inspection Log'!Y51))</f>
        <v/>
      </c>
      <c r="G50" s="18" t="str">
        <f aca="false">IF('Inspection Log'!AF51="","",'Inspection Log'!AF51)</f>
        <v/>
      </c>
      <c r="H50" s="18" t="str">
        <f aca="false">IF('Inspection Log'!AM51="","",'Inspection Log'!AM51)</f>
        <v/>
      </c>
      <c r="I50" s="18" t="str">
        <f aca="false">IF('Inspection Log'!N51="","",'Inspection Log'!N51)</f>
        <v/>
      </c>
      <c r="J50" s="18" t="str">
        <f aca="false">IF('Inspection Log'!AT51="","",'Inspection Log'!AT51)</f>
        <v/>
      </c>
      <c r="K50" s="18" t="str">
        <f aca="false">Scoring!K54</f>
        <v/>
      </c>
      <c r="L50" s="18" t="str">
        <f aca="false">Scoring!Q54</f>
        <v/>
      </c>
      <c r="M50" s="19" t="str">
        <f aca="false">IF('Inspection Log'!D51="","",HYPERLINK('Inspection Log'!D51,'Inspection Log'!D51))</f>
        <v/>
      </c>
      <c r="N50" s="19" t="str">
        <f aca="false">IF('Inspection Log'!AW51="","",HYPERLINK('Inspection Log'!AW51,'Inspection Log'!AW51))</f>
        <v/>
      </c>
      <c r="O50" s="19" t="str">
        <f aca="false">IF('Inspection Log'!AY51="","",HYPERLINK('Inspection Log'!AY51,'Inspection Log'!AY51))</f>
        <v/>
      </c>
    </row>
    <row r="51" customFormat="false" ht="15" hidden="false" customHeight="false" outlineLevel="0" collapsed="false">
      <c r="A51" s="18" t="n">
        <v>50</v>
      </c>
      <c r="B51" s="18" t="str">
        <f aca="false">IF('Inspection Log'!B52="","",'Inspection Log'!B52)</f>
        <v/>
      </c>
      <c r="C51" s="18" t="str">
        <f aca="false">IF('Inspection Log'!L52="","",'Inspection Log'!L52)</f>
        <v/>
      </c>
      <c r="D51" s="18" t="str">
        <f aca="false">IF('Inspection Log'!AO52="","",'Inspection Log'!AO52)</f>
        <v/>
      </c>
      <c r="E51" s="18" t="str">
        <f aca="false">IF('Inspection Log'!V52="","",'Inspection Log'!V52)</f>
        <v/>
      </c>
      <c r="F51" s="18" t="str">
        <f aca="false">IF(AND('Inspection Log'!X52="",'Inspection Log'!Y52=""),"","On-site: "&amp;IF('Inspection Log'!X52="","NOT SHOWN",'Inspection Log'!X52)&amp;" / 3rd-party: "&amp;IF('Inspection Log'!Y52="","NOT SHOWN",'Inspection Log'!Y52))</f>
        <v/>
      </c>
      <c r="G51" s="18" t="str">
        <f aca="false">IF('Inspection Log'!AF52="","",'Inspection Log'!AF52)</f>
        <v/>
      </c>
      <c r="H51" s="18" t="str">
        <f aca="false">IF('Inspection Log'!AM52="","",'Inspection Log'!AM52)</f>
        <v/>
      </c>
      <c r="I51" s="18" t="str">
        <f aca="false">IF('Inspection Log'!N52="","",'Inspection Log'!N52)</f>
        <v/>
      </c>
      <c r="J51" s="18" t="str">
        <f aca="false">IF('Inspection Log'!AT52="","",'Inspection Log'!AT52)</f>
        <v/>
      </c>
      <c r="K51" s="18" t="str">
        <f aca="false">Scoring!K55</f>
        <v/>
      </c>
      <c r="L51" s="18" t="str">
        <f aca="false">Scoring!Q55</f>
        <v/>
      </c>
      <c r="M51" s="19" t="str">
        <f aca="false">IF('Inspection Log'!D52="","",HYPERLINK('Inspection Log'!D52,'Inspection Log'!D52))</f>
        <v/>
      </c>
      <c r="N51" s="19" t="str">
        <f aca="false">IF('Inspection Log'!AW52="","",HYPERLINK('Inspection Log'!AW52,'Inspection Log'!AW52))</f>
        <v/>
      </c>
      <c r="O51" s="19" t="str">
        <f aca="false">IF('Inspection Log'!AY52="","",HYPERLINK('Inspection Log'!AY52,'Inspection Log'!AY52))</f>
        <v/>
      </c>
    </row>
    <row r="52" customFormat="false" ht="15" hidden="false" customHeight="false" outlineLevel="0" collapsed="false">
      <c r="A52" s="18" t="n">
        <v>51</v>
      </c>
      <c r="B52" s="18" t="str">
        <f aca="false">IF('Inspection Log'!B53="","",'Inspection Log'!B53)</f>
        <v/>
      </c>
      <c r="C52" s="18" t="str">
        <f aca="false">IF('Inspection Log'!L53="","",'Inspection Log'!L53)</f>
        <v/>
      </c>
      <c r="D52" s="18" t="str">
        <f aca="false">IF('Inspection Log'!AO53="","",'Inspection Log'!AO53)</f>
        <v/>
      </c>
      <c r="E52" s="18" t="str">
        <f aca="false">IF('Inspection Log'!V53="","",'Inspection Log'!V53)</f>
        <v/>
      </c>
      <c r="F52" s="18" t="str">
        <f aca="false">IF(AND('Inspection Log'!X53="",'Inspection Log'!Y53=""),"","On-site: "&amp;IF('Inspection Log'!X53="","NOT SHOWN",'Inspection Log'!X53)&amp;" / 3rd-party: "&amp;IF('Inspection Log'!Y53="","NOT SHOWN",'Inspection Log'!Y53))</f>
        <v/>
      </c>
      <c r="G52" s="18" t="str">
        <f aca="false">IF('Inspection Log'!AF53="","",'Inspection Log'!AF53)</f>
        <v/>
      </c>
      <c r="H52" s="18" t="str">
        <f aca="false">IF('Inspection Log'!AM53="","",'Inspection Log'!AM53)</f>
        <v/>
      </c>
      <c r="I52" s="18" t="str">
        <f aca="false">IF('Inspection Log'!N53="","",'Inspection Log'!N53)</f>
        <v/>
      </c>
      <c r="J52" s="18" t="str">
        <f aca="false">IF('Inspection Log'!AT53="","",'Inspection Log'!AT53)</f>
        <v/>
      </c>
      <c r="K52" s="18" t="str">
        <f aca="false">Scoring!K56</f>
        <v/>
      </c>
      <c r="L52" s="18" t="str">
        <f aca="false">Scoring!Q56</f>
        <v/>
      </c>
      <c r="M52" s="19" t="str">
        <f aca="false">IF('Inspection Log'!D53="","",HYPERLINK('Inspection Log'!D53,'Inspection Log'!D53))</f>
        <v/>
      </c>
      <c r="N52" s="19" t="str">
        <f aca="false">IF('Inspection Log'!AW53="","",HYPERLINK('Inspection Log'!AW53,'Inspection Log'!AW53))</f>
        <v/>
      </c>
      <c r="O52" s="19" t="str">
        <f aca="false">IF('Inspection Log'!AY53="","",HYPERLINK('Inspection Log'!AY53,'Inspection Log'!AY53))</f>
        <v/>
      </c>
    </row>
    <row r="53" customFormat="false" ht="15" hidden="false" customHeight="false" outlineLevel="0" collapsed="false">
      <c r="A53" s="18" t="n">
        <v>52</v>
      </c>
      <c r="B53" s="18" t="str">
        <f aca="false">IF('Inspection Log'!B54="","",'Inspection Log'!B54)</f>
        <v/>
      </c>
      <c r="C53" s="18" t="str">
        <f aca="false">IF('Inspection Log'!L54="","",'Inspection Log'!L54)</f>
        <v/>
      </c>
      <c r="D53" s="18" t="str">
        <f aca="false">IF('Inspection Log'!AO54="","",'Inspection Log'!AO54)</f>
        <v/>
      </c>
      <c r="E53" s="18" t="str">
        <f aca="false">IF('Inspection Log'!V54="","",'Inspection Log'!V54)</f>
        <v/>
      </c>
      <c r="F53" s="18" t="str">
        <f aca="false">IF(AND('Inspection Log'!X54="",'Inspection Log'!Y54=""),"","On-site: "&amp;IF('Inspection Log'!X54="","NOT SHOWN",'Inspection Log'!X54)&amp;" / 3rd-party: "&amp;IF('Inspection Log'!Y54="","NOT SHOWN",'Inspection Log'!Y54))</f>
        <v/>
      </c>
      <c r="G53" s="18" t="str">
        <f aca="false">IF('Inspection Log'!AF54="","",'Inspection Log'!AF54)</f>
        <v/>
      </c>
      <c r="H53" s="18" t="str">
        <f aca="false">IF('Inspection Log'!AM54="","",'Inspection Log'!AM54)</f>
        <v/>
      </c>
      <c r="I53" s="18" t="str">
        <f aca="false">IF('Inspection Log'!N54="","",'Inspection Log'!N54)</f>
        <v/>
      </c>
      <c r="J53" s="18" t="str">
        <f aca="false">IF('Inspection Log'!AT54="","",'Inspection Log'!AT54)</f>
        <v/>
      </c>
      <c r="K53" s="18" t="str">
        <f aca="false">Scoring!K57</f>
        <v/>
      </c>
      <c r="L53" s="18" t="str">
        <f aca="false">Scoring!Q57</f>
        <v/>
      </c>
      <c r="M53" s="19" t="str">
        <f aca="false">IF('Inspection Log'!D54="","",HYPERLINK('Inspection Log'!D54,'Inspection Log'!D54))</f>
        <v/>
      </c>
      <c r="N53" s="19" t="str">
        <f aca="false">IF('Inspection Log'!AW54="","",HYPERLINK('Inspection Log'!AW54,'Inspection Log'!AW54))</f>
        <v/>
      </c>
      <c r="O53" s="19" t="str">
        <f aca="false">IF('Inspection Log'!AY54="","",HYPERLINK('Inspection Log'!AY54,'Inspection Log'!AY54))</f>
        <v/>
      </c>
    </row>
    <row r="54" customFormat="false" ht="15" hidden="false" customHeight="false" outlineLevel="0" collapsed="false">
      <c r="A54" s="18" t="n">
        <v>53</v>
      </c>
      <c r="B54" s="18" t="str">
        <f aca="false">IF('Inspection Log'!B55="","",'Inspection Log'!B55)</f>
        <v/>
      </c>
      <c r="C54" s="18" t="str">
        <f aca="false">IF('Inspection Log'!L55="","",'Inspection Log'!L55)</f>
        <v/>
      </c>
      <c r="D54" s="18" t="str">
        <f aca="false">IF('Inspection Log'!AO55="","",'Inspection Log'!AO55)</f>
        <v/>
      </c>
      <c r="E54" s="18" t="str">
        <f aca="false">IF('Inspection Log'!V55="","",'Inspection Log'!V55)</f>
        <v/>
      </c>
      <c r="F54" s="18" t="str">
        <f aca="false">IF(AND('Inspection Log'!X55="",'Inspection Log'!Y55=""),"","On-site: "&amp;IF('Inspection Log'!X55="","NOT SHOWN",'Inspection Log'!X55)&amp;" / 3rd-party: "&amp;IF('Inspection Log'!Y55="","NOT SHOWN",'Inspection Log'!Y55))</f>
        <v/>
      </c>
      <c r="G54" s="18" t="str">
        <f aca="false">IF('Inspection Log'!AF55="","",'Inspection Log'!AF55)</f>
        <v/>
      </c>
      <c r="H54" s="18" t="str">
        <f aca="false">IF('Inspection Log'!AM55="","",'Inspection Log'!AM55)</f>
        <v/>
      </c>
      <c r="I54" s="18" t="str">
        <f aca="false">IF('Inspection Log'!N55="","",'Inspection Log'!N55)</f>
        <v/>
      </c>
      <c r="J54" s="18" t="str">
        <f aca="false">IF('Inspection Log'!AT55="","",'Inspection Log'!AT55)</f>
        <v/>
      </c>
      <c r="K54" s="18" t="str">
        <f aca="false">Scoring!K58</f>
        <v/>
      </c>
      <c r="L54" s="18" t="str">
        <f aca="false">Scoring!Q58</f>
        <v/>
      </c>
      <c r="M54" s="19" t="str">
        <f aca="false">IF('Inspection Log'!D55="","",HYPERLINK('Inspection Log'!D55,'Inspection Log'!D55))</f>
        <v/>
      </c>
      <c r="N54" s="19" t="str">
        <f aca="false">IF('Inspection Log'!AW55="","",HYPERLINK('Inspection Log'!AW55,'Inspection Log'!AW55))</f>
        <v/>
      </c>
      <c r="O54" s="19" t="str">
        <f aca="false">IF('Inspection Log'!AY55="","",HYPERLINK('Inspection Log'!AY55,'Inspection Log'!AY55))</f>
        <v/>
      </c>
    </row>
    <row r="55" customFormat="false" ht="15" hidden="false" customHeight="false" outlineLevel="0" collapsed="false">
      <c r="A55" s="18" t="n">
        <v>54</v>
      </c>
      <c r="B55" s="18" t="str">
        <f aca="false">IF('Inspection Log'!B56="","",'Inspection Log'!B56)</f>
        <v/>
      </c>
      <c r="C55" s="18" t="str">
        <f aca="false">IF('Inspection Log'!L56="","",'Inspection Log'!L56)</f>
        <v/>
      </c>
      <c r="D55" s="18" t="str">
        <f aca="false">IF('Inspection Log'!AO56="","",'Inspection Log'!AO56)</f>
        <v/>
      </c>
      <c r="E55" s="18" t="str">
        <f aca="false">IF('Inspection Log'!V56="","",'Inspection Log'!V56)</f>
        <v/>
      </c>
      <c r="F55" s="18" t="str">
        <f aca="false">IF(AND('Inspection Log'!X56="",'Inspection Log'!Y56=""),"","On-site: "&amp;IF('Inspection Log'!X56="","NOT SHOWN",'Inspection Log'!X56)&amp;" / 3rd-party: "&amp;IF('Inspection Log'!Y56="","NOT SHOWN",'Inspection Log'!Y56))</f>
        <v/>
      </c>
      <c r="G55" s="18" t="str">
        <f aca="false">IF('Inspection Log'!AF56="","",'Inspection Log'!AF56)</f>
        <v/>
      </c>
      <c r="H55" s="18" t="str">
        <f aca="false">IF('Inspection Log'!AM56="","",'Inspection Log'!AM56)</f>
        <v/>
      </c>
      <c r="I55" s="18" t="str">
        <f aca="false">IF('Inspection Log'!N56="","",'Inspection Log'!N56)</f>
        <v/>
      </c>
      <c r="J55" s="18" t="str">
        <f aca="false">IF('Inspection Log'!AT56="","",'Inspection Log'!AT56)</f>
        <v/>
      </c>
      <c r="K55" s="18" t="str">
        <f aca="false">Scoring!K59</f>
        <v/>
      </c>
      <c r="L55" s="18" t="str">
        <f aca="false">Scoring!Q59</f>
        <v/>
      </c>
      <c r="M55" s="19" t="str">
        <f aca="false">IF('Inspection Log'!D56="","",HYPERLINK('Inspection Log'!D56,'Inspection Log'!D56))</f>
        <v/>
      </c>
      <c r="N55" s="19" t="str">
        <f aca="false">IF('Inspection Log'!AW56="","",HYPERLINK('Inspection Log'!AW56,'Inspection Log'!AW56))</f>
        <v/>
      </c>
      <c r="O55" s="19" t="str">
        <f aca="false">IF('Inspection Log'!AY56="","",HYPERLINK('Inspection Log'!AY56,'Inspection Log'!AY56))</f>
        <v/>
      </c>
    </row>
    <row r="56" customFormat="false" ht="15" hidden="false" customHeight="false" outlineLevel="0" collapsed="false">
      <c r="A56" s="18" t="n">
        <v>55</v>
      </c>
      <c r="B56" s="18" t="str">
        <f aca="false">IF('Inspection Log'!B57="","",'Inspection Log'!B57)</f>
        <v/>
      </c>
      <c r="C56" s="18" t="str">
        <f aca="false">IF('Inspection Log'!L57="","",'Inspection Log'!L57)</f>
        <v/>
      </c>
      <c r="D56" s="18" t="str">
        <f aca="false">IF('Inspection Log'!AO57="","",'Inspection Log'!AO57)</f>
        <v/>
      </c>
      <c r="E56" s="18" t="str">
        <f aca="false">IF('Inspection Log'!V57="","",'Inspection Log'!V57)</f>
        <v/>
      </c>
      <c r="F56" s="18" t="str">
        <f aca="false">IF(AND('Inspection Log'!X57="",'Inspection Log'!Y57=""),"","On-site: "&amp;IF('Inspection Log'!X57="","NOT SHOWN",'Inspection Log'!X57)&amp;" / 3rd-party: "&amp;IF('Inspection Log'!Y57="","NOT SHOWN",'Inspection Log'!Y57))</f>
        <v/>
      </c>
      <c r="G56" s="18" t="str">
        <f aca="false">IF('Inspection Log'!AF57="","",'Inspection Log'!AF57)</f>
        <v/>
      </c>
      <c r="H56" s="18" t="str">
        <f aca="false">IF('Inspection Log'!AM57="","",'Inspection Log'!AM57)</f>
        <v/>
      </c>
      <c r="I56" s="18" t="str">
        <f aca="false">IF('Inspection Log'!N57="","",'Inspection Log'!N57)</f>
        <v/>
      </c>
      <c r="J56" s="18" t="str">
        <f aca="false">IF('Inspection Log'!AT57="","",'Inspection Log'!AT57)</f>
        <v/>
      </c>
      <c r="K56" s="18" t="str">
        <f aca="false">Scoring!K60</f>
        <v/>
      </c>
      <c r="L56" s="18" t="str">
        <f aca="false">Scoring!Q60</f>
        <v/>
      </c>
      <c r="M56" s="19" t="str">
        <f aca="false">IF('Inspection Log'!D57="","",HYPERLINK('Inspection Log'!D57,'Inspection Log'!D57))</f>
        <v/>
      </c>
      <c r="N56" s="19" t="str">
        <f aca="false">IF('Inspection Log'!AW57="","",HYPERLINK('Inspection Log'!AW57,'Inspection Log'!AW57))</f>
        <v/>
      </c>
      <c r="O56" s="19" t="str">
        <f aca="false">IF('Inspection Log'!AY57="","",HYPERLINK('Inspection Log'!AY57,'Inspection Log'!AY57))</f>
        <v/>
      </c>
    </row>
    <row r="57" customFormat="false" ht="15" hidden="false" customHeight="false" outlineLevel="0" collapsed="false">
      <c r="A57" s="18" t="n">
        <v>56</v>
      </c>
      <c r="B57" s="18" t="str">
        <f aca="false">IF('Inspection Log'!B58="","",'Inspection Log'!B58)</f>
        <v/>
      </c>
      <c r="C57" s="18" t="str">
        <f aca="false">IF('Inspection Log'!L58="","",'Inspection Log'!L58)</f>
        <v/>
      </c>
      <c r="D57" s="18" t="str">
        <f aca="false">IF('Inspection Log'!AO58="","",'Inspection Log'!AO58)</f>
        <v/>
      </c>
      <c r="E57" s="18" t="str">
        <f aca="false">IF('Inspection Log'!V58="","",'Inspection Log'!V58)</f>
        <v/>
      </c>
      <c r="F57" s="18" t="str">
        <f aca="false">IF(AND('Inspection Log'!X58="",'Inspection Log'!Y58=""),"","On-site: "&amp;IF('Inspection Log'!X58="","NOT SHOWN",'Inspection Log'!X58)&amp;" / 3rd-party: "&amp;IF('Inspection Log'!Y58="","NOT SHOWN",'Inspection Log'!Y58))</f>
        <v/>
      </c>
      <c r="G57" s="18" t="str">
        <f aca="false">IF('Inspection Log'!AF58="","",'Inspection Log'!AF58)</f>
        <v/>
      </c>
      <c r="H57" s="18" t="str">
        <f aca="false">IF('Inspection Log'!AM58="","",'Inspection Log'!AM58)</f>
        <v/>
      </c>
      <c r="I57" s="18" t="str">
        <f aca="false">IF('Inspection Log'!N58="","",'Inspection Log'!N58)</f>
        <v/>
      </c>
      <c r="J57" s="18" t="str">
        <f aca="false">IF('Inspection Log'!AT58="","",'Inspection Log'!AT58)</f>
        <v/>
      </c>
      <c r="K57" s="18" t="str">
        <f aca="false">Scoring!K61</f>
        <v/>
      </c>
      <c r="L57" s="18" t="str">
        <f aca="false">Scoring!Q61</f>
        <v/>
      </c>
      <c r="M57" s="19" t="str">
        <f aca="false">IF('Inspection Log'!D58="","",HYPERLINK('Inspection Log'!D58,'Inspection Log'!D58))</f>
        <v/>
      </c>
      <c r="N57" s="19" t="str">
        <f aca="false">IF('Inspection Log'!AW58="","",HYPERLINK('Inspection Log'!AW58,'Inspection Log'!AW58))</f>
        <v/>
      </c>
      <c r="O57" s="19" t="str">
        <f aca="false">IF('Inspection Log'!AY58="","",HYPERLINK('Inspection Log'!AY58,'Inspection Log'!AY58))</f>
        <v/>
      </c>
    </row>
    <row r="58" customFormat="false" ht="15" hidden="false" customHeight="false" outlineLevel="0" collapsed="false">
      <c r="A58" s="18" t="n">
        <v>57</v>
      </c>
      <c r="B58" s="18" t="str">
        <f aca="false">IF('Inspection Log'!B59="","",'Inspection Log'!B59)</f>
        <v/>
      </c>
      <c r="C58" s="18" t="str">
        <f aca="false">IF('Inspection Log'!L59="","",'Inspection Log'!L59)</f>
        <v/>
      </c>
      <c r="D58" s="18" t="str">
        <f aca="false">IF('Inspection Log'!AO59="","",'Inspection Log'!AO59)</f>
        <v/>
      </c>
      <c r="E58" s="18" t="str">
        <f aca="false">IF('Inspection Log'!V59="","",'Inspection Log'!V59)</f>
        <v/>
      </c>
      <c r="F58" s="18" t="str">
        <f aca="false">IF(AND('Inspection Log'!X59="",'Inspection Log'!Y59=""),"","On-site: "&amp;IF('Inspection Log'!X59="","NOT SHOWN",'Inspection Log'!X59)&amp;" / 3rd-party: "&amp;IF('Inspection Log'!Y59="","NOT SHOWN",'Inspection Log'!Y59))</f>
        <v/>
      </c>
      <c r="G58" s="18" t="str">
        <f aca="false">IF('Inspection Log'!AF59="","",'Inspection Log'!AF59)</f>
        <v/>
      </c>
      <c r="H58" s="18" t="str">
        <f aca="false">IF('Inspection Log'!AM59="","",'Inspection Log'!AM59)</f>
        <v/>
      </c>
      <c r="I58" s="18" t="str">
        <f aca="false">IF('Inspection Log'!N59="","",'Inspection Log'!N59)</f>
        <v/>
      </c>
      <c r="J58" s="18" t="str">
        <f aca="false">IF('Inspection Log'!AT59="","",'Inspection Log'!AT59)</f>
        <v/>
      </c>
      <c r="K58" s="18" t="str">
        <f aca="false">Scoring!K62</f>
        <v/>
      </c>
      <c r="L58" s="18" t="str">
        <f aca="false">Scoring!Q62</f>
        <v/>
      </c>
      <c r="M58" s="19" t="str">
        <f aca="false">IF('Inspection Log'!D59="","",HYPERLINK('Inspection Log'!D59,'Inspection Log'!D59))</f>
        <v/>
      </c>
      <c r="N58" s="19" t="str">
        <f aca="false">IF('Inspection Log'!AW59="","",HYPERLINK('Inspection Log'!AW59,'Inspection Log'!AW59))</f>
        <v/>
      </c>
      <c r="O58" s="19" t="str">
        <f aca="false">IF('Inspection Log'!AY59="","",HYPERLINK('Inspection Log'!AY59,'Inspection Log'!AY59))</f>
        <v/>
      </c>
    </row>
    <row r="59" customFormat="false" ht="15" hidden="false" customHeight="false" outlineLevel="0" collapsed="false">
      <c r="A59" s="18" t="n">
        <v>58</v>
      </c>
      <c r="B59" s="18" t="str">
        <f aca="false">IF('Inspection Log'!B60="","",'Inspection Log'!B60)</f>
        <v/>
      </c>
      <c r="C59" s="18" t="str">
        <f aca="false">IF('Inspection Log'!L60="","",'Inspection Log'!L60)</f>
        <v/>
      </c>
      <c r="D59" s="18" t="str">
        <f aca="false">IF('Inspection Log'!AO60="","",'Inspection Log'!AO60)</f>
        <v/>
      </c>
      <c r="E59" s="18" t="str">
        <f aca="false">IF('Inspection Log'!V60="","",'Inspection Log'!V60)</f>
        <v/>
      </c>
      <c r="F59" s="18" t="str">
        <f aca="false">IF(AND('Inspection Log'!X60="",'Inspection Log'!Y60=""),"","On-site: "&amp;IF('Inspection Log'!X60="","NOT SHOWN",'Inspection Log'!X60)&amp;" / 3rd-party: "&amp;IF('Inspection Log'!Y60="","NOT SHOWN",'Inspection Log'!Y60))</f>
        <v/>
      </c>
      <c r="G59" s="18" t="str">
        <f aca="false">IF('Inspection Log'!AF60="","",'Inspection Log'!AF60)</f>
        <v/>
      </c>
      <c r="H59" s="18" t="str">
        <f aca="false">IF('Inspection Log'!AM60="","",'Inspection Log'!AM60)</f>
        <v/>
      </c>
      <c r="I59" s="18" t="str">
        <f aca="false">IF('Inspection Log'!N60="","",'Inspection Log'!N60)</f>
        <v/>
      </c>
      <c r="J59" s="18" t="str">
        <f aca="false">IF('Inspection Log'!AT60="","",'Inspection Log'!AT60)</f>
        <v/>
      </c>
      <c r="K59" s="18" t="str">
        <f aca="false">Scoring!K63</f>
        <v/>
      </c>
      <c r="L59" s="18" t="str">
        <f aca="false">Scoring!Q63</f>
        <v/>
      </c>
      <c r="M59" s="19" t="str">
        <f aca="false">IF('Inspection Log'!D60="","",HYPERLINK('Inspection Log'!D60,'Inspection Log'!D60))</f>
        <v/>
      </c>
      <c r="N59" s="19" t="str">
        <f aca="false">IF('Inspection Log'!AW60="","",HYPERLINK('Inspection Log'!AW60,'Inspection Log'!AW60))</f>
        <v/>
      </c>
      <c r="O59" s="19" t="str">
        <f aca="false">IF('Inspection Log'!AY60="","",HYPERLINK('Inspection Log'!AY60,'Inspection Log'!AY60))</f>
        <v/>
      </c>
    </row>
    <row r="60" customFormat="false" ht="15" hidden="false" customHeight="false" outlineLevel="0" collapsed="false">
      <c r="A60" s="18" t="n">
        <v>59</v>
      </c>
      <c r="B60" s="18" t="str">
        <f aca="false">IF('Inspection Log'!B61="","",'Inspection Log'!B61)</f>
        <v/>
      </c>
      <c r="C60" s="18" t="str">
        <f aca="false">IF('Inspection Log'!L61="","",'Inspection Log'!L61)</f>
        <v/>
      </c>
      <c r="D60" s="18" t="str">
        <f aca="false">IF('Inspection Log'!AO61="","",'Inspection Log'!AO61)</f>
        <v/>
      </c>
      <c r="E60" s="18" t="str">
        <f aca="false">IF('Inspection Log'!V61="","",'Inspection Log'!V61)</f>
        <v/>
      </c>
      <c r="F60" s="18" t="str">
        <f aca="false">IF(AND('Inspection Log'!X61="",'Inspection Log'!Y61=""),"","On-site: "&amp;IF('Inspection Log'!X61="","NOT SHOWN",'Inspection Log'!X61)&amp;" / 3rd-party: "&amp;IF('Inspection Log'!Y61="","NOT SHOWN",'Inspection Log'!Y61))</f>
        <v/>
      </c>
      <c r="G60" s="18" t="str">
        <f aca="false">IF('Inspection Log'!AF61="","",'Inspection Log'!AF61)</f>
        <v/>
      </c>
      <c r="H60" s="18" t="str">
        <f aca="false">IF('Inspection Log'!AM61="","",'Inspection Log'!AM61)</f>
        <v/>
      </c>
      <c r="I60" s="18" t="str">
        <f aca="false">IF('Inspection Log'!N61="","",'Inspection Log'!N61)</f>
        <v/>
      </c>
      <c r="J60" s="18" t="str">
        <f aca="false">IF('Inspection Log'!AT61="","",'Inspection Log'!AT61)</f>
        <v/>
      </c>
      <c r="K60" s="18" t="str">
        <f aca="false">Scoring!K64</f>
        <v/>
      </c>
      <c r="L60" s="18" t="str">
        <f aca="false">Scoring!Q64</f>
        <v/>
      </c>
      <c r="M60" s="19" t="str">
        <f aca="false">IF('Inspection Log'!D61="","",HYPERLINK('Inspection Log'!D61,'Inspection Log'!D61))</f>
        <v/>
      </c>
      <c r="N60" s="19" t="str">
        <f aca="false">IF('Inspection Log'!AW61="","",HYPERLINK('Inspection Log'!AW61,'Inspection Log'!AW61))</f>
        <v/>
      </c>
      <c r="O60" s="19" t="str">
        <f aca="false">IF('Inspection Log'!AY61="","",HYPERLINK('Inspection Log'!AY61,'Inspection Log'!AY61))</f>
        <v/>
      </c>
    </row>
    <row r="61" customFormat="false" ht="15" hidden="false" customHeight="false" outlineLevel="0" collapsed="false">
      <c r="A61" s="18" t="n">
        <v>60</v>
      </c>
      <c r="B61" s="18" t="str">
        <f aca="false">IF('Inspection Log'!B62="","",'Inspection Log'!B62)</f>
        <v/>
      </c>
      <c r="C61" s="18" t="str">
        <f aca="false">IF('Inspection Log'!L62="","",'Inspection Log'!L62)</f>
        <v/>
      </c>
      <c r="D61" s="18" t="str">
        <f aca="false">IF('Inspection Log'!AO62="","",'Inspection Log'!AO62)</f>
        <v/>
      </c>
      <c r="E61" s="18" t="str">
        <f aca="false">IF('Inspection Log'!V62="","",'Inspection Log'!V62)</f>
        <v/>
      </c>
      <c r="F61" s="18" t="str">
        <f aca="false">IF(AND('Inspection Log'!X62="",'Inspection Log'!Y62=""),"","On-site: "&amp;IF('Inspection Log'!X62="","NOT SHOWN",'Inspection Log'!X62)&amp;" / 3rd-party: "&amp;IF('Inspection Log'!Y62="","NOT SHOWN",'Inspection Log'!Y62))</f>
        <v/>
      </c>
      <c r="G61" s="18" t="str">
        <f aca="false">IF('Inspection Log'!AF62="","",'Inspection Log'!AF62)</f>
        <v/>
      </c>
      <c r="H61" s="18" t="str">
        <f aca="false">IF('Inspection Log'!AM62="","",'Inspection Log'!AM62)</f>
        <v/>
      </c>
      <c r="I61" s="18" t="str">
        <f aca="false">IF('Inspection Log'!N62="","",'Inspection Log'!N62)</f>
        <v/>
      </c>
      <c r="J61" s="18" t="str">
        <f aca="false">IF('Inspection Log'!AT62="","",'Inspection Log'!AT62)</f>
        <v/>
      </c>
      <c r="K61" s="18" t="str">
        <f aca="false">Scoring!K65</f>
        <v/>
      </c>
      <c r="L61" s="18" t="str">
        <f aca="false">Scoring!Q65</f>
        <v/>
      </c>
      <c r="M61" s="19" t="str">
        <f aca="false">IF('Inspection Log'!D62="","",HYPERLINK('Inspection Log'!D62,'Inspection Log'!D62))</f>
        <v/>
      </c>
      <c r="N61" s="19" t="str">
        <f aca="false">IF('Inspection Log'!AW62="","",HYPERLINK('Inspection Log'!AW62,'Inspection Log'!AW62))</f>
        <v/>
      </c>
      <c r="O61" s="19" t="str">
        <f aca="false">IF('Inspection Log'!AY62="","",HYPERLINK('Inspection Log'!AY62,'Inspection Log'!AY62))</f>
        <v/>
      </c>
    </row>
  </sheetData>
  <autoFilter ref="A1:O61"/>
  <conditionalFormatting sqref="L2:L61">
    <cfRule type="expression" priority="2" aboveAverage="0" equalAverage="0" bottom="0" percent="0" rank="0" text="" dxfId="6">
      <formula>L2="A"</formula>
    </cfRule>
    <cfRule type="expression" priority="3" aboveAverage="0" equalAverage="0" bottom="0" percent="0" rank="0" text="" dxfId="7">
      <formula>L2="B"</formula>
    </cfRule>
    <cfRule type="expression" priority="4" aboveAverage="0" equalAverage="0" bottom="0" percent="0" rank="0" text="" dxfId="8">
      <formula>L2="C"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4" min="3" style="0" width="8"/>
    <col collapsed="false" customWidth="true" hidden="false" outlineLevel="0" max="5" min="5" style="0" width="26"/>
    <col collapsed="false" customWidth="true" hidden="false" outlineLevel="0" max="6" min="6" style="0" width="36"/>
    <col collapsed="false" customWidth="true" hidden="false" outlineLevel="0" max="8" min="7" style="0" width="30"/>
    <col collapsed="false" customWidth="true" hidden="false" outlineLevel="0" max="9" min="9" style="0" width="32"/>
    <col collapsed="false" customWidth="true" hidden="false" outlineLevel="0" max="10" min="10" style="0" width="28"/>
    <col collapsed="false" customWidth="true" hidden="false" outlineLevel="0" max="11" min="11" style="0" width="40"/>
    <col collapsed="false" customWidth="true" hidden="false" outlineLevel="0" max="12" min="12" style="0" width="34"/>
    <col collapsed="false" customWidth="true" hidden="false" outlineLevel="0" max="13" min="13" style="0" width="8"/>
  </cols>
  <sheetData>
    <row r="1" customFormat="false" ht="36" hidden="false" customHeight="true" outlineLevel="0" collapsed="false">
      <c r="A1" s="7" t="s">
        <v>287</v>
      </c>
      <c r="B1" s="7" t="s">
        <v>256</v>
      </c>
      <c r="C1" s="7" t="s">
        <v>288</v>
      </c>
      <c r="D1" s="7" t="s">
        <v>283</v>
      </c>
      <c r="E1" s="7" t="s">
        <v>289</v>
      </c>
      <c r="F1" s="7" t="s">
        <v>290</v>
      </c>
      <c r="G1" s="7" t="s">
        <v>291</v>
      </c>
      <c r="H1" s="7" t="s">
        <v>292</v>
      </c>
      <c r="I1" s="7" t="s">
        <v>293</v>
      </c>
      <c r="J1" s="7" t="s">
        <v>294</v>
      </c>
      <c r="K1" s="7" t="s">
        <v>295</v>
      </c>
      <c r="L1" s="7" t="s">
        <v>296</v>
      </c>
      <c r="M1" s="7" t="s">
        <v>297</v>
      </c>
    </row>
    <row r="2" customFormat="false" ht="60" hidden="false" customHeight="true" outlineLevel="0" collapsed="false">
      <c r="A2" s="18" t="n">
        <v>1</v>
      </c>
      <c r="B2" s="18" t="str">
        <f aca="false">IF($M2="","",INDEX('Inspection Log'!$B$3:$B$62,$M2))</f>
        <v/>
      </c>
      <c r="C2" s="18" t="str">
        <f aca="false">IF($M2="","",INDEX(Scoring!$K$6:$K$65,$M2))</f>
        <v/>
      </c>
      <c r="D2" s="18" t="str">
        <f aca="false">IF($M2="","",INDEX(Scoring!$Q$6:$Q$65,$M2))</f>
        <v/>
      </c>
      <c r="E2" s="18" t="str">
        <f aca="false">IF($M2="","",INDEX(Scoring!$C$6:$C$65,$M2)&amp;"/25 – evidence: "&amp;IF(INDEX('Inspection Log'!$N$3:$N$62,$M2)="","NOT CLEAR",INDEX('Inspection Log'!$N$3:$N$62,$M2))&amp;". "&amp;INDEX('Inspection Log'!$M$3:$M$62,$M2))</f>
        <v/>
      </c>
      <c r="F2" s="18" t="str">
        <f aca="false">IF($M2="","",INDEX(Scoring!$D$6:$D$65,$M2)&amp;"/20 – full customization: "&amp;IF(INDEX('Inspection Log'!$AO$3:$AO$62,$M2)="","NOT CLEAR",INDEX('Inspection Log'!$AO$3:$AO$62,$M2))&amp;". "&amp;INDEX('Inspection Log'!$AN$3:$AN$62,$M2))</f>
        <v/>
      </c>
      <c r="G2" s="18" t="str">
        <f aca="false">IF($M2="","","Verified: "&amp;IF(INDEX('Inspection Log'!$V$3:$V$62,$M2)="","NOT CLEAR",INDEX('Inspection Log'!$V$3:$V$62,$M2))&amp;" / On-site: "&amp;IF(INDEX('Inspection Log'!$X$3:$X$62,$M2)="","NOT SHOWN",INDEX('Inspection Log'!$X$3:$X$62,$M2))&amp;" / 3rd-party: "&amp;IF(INDEX('Inspection Log'!$Y$3:$Y$62,$M2)="","NOT SHOWN",INDEX('Inspection Log'!$Y$3:$Y$62,$M2))&amp;" / Verifier: "&amp;IF(INDEX('Inspection Log'!$W$3:$W$62,$M2)="","NOT SHOWN",INDEX('Inspection Log'!$W$3:$W$62,$M2)))</f>
        <v/>
      </c>
      <c r="H2" s="18" t="str">
        <f aca="false">IF($M2="","",IF(INDEX('Inspection Log'!$AF$3:$AF$62,$M2)="","NOT SHOWN",INDEX('Inspection Log'!$AF$3:$AF$62,$M2))&amp;"/5 from "&amp;IF(INDEX('Inspection Log'!$AG$3:$AG$62,$M2)="","NOT SHOWN",INDEX('Inspection Log'!$AG$3:$AG$62,$M2))&amp;" reviews. "&amp;INDEX('Inspection Log'!$AI$3:$AI$62,$M2))</f>
        <v/>
      </c>
      <c r="I2" s="18" t="str">
        <f aca="false">IF($M2="","","Bad reviews: "&amp;IF(INDEX('Inspection Log'!$AM$3:$AM$62,$M2)="","NOT CLEAR",INDEX('Inspection Log'!$AM$3:$AM$62,$M2))&amp;"; repeated: "&amp;IF(INDEX('Inspection Log'!$AL$3:$AL$62,$M2)="","NOT CLEAR",INDEX('Inspection Log'!$AL$3:$AL$62,$M2))&amp;". "&amp;INDEX('Inspection Log'!$AJ$3:$AJ$62,$M2)&amp;" "&amp;INDEX('Inspection Log'!$AK$3:$AK$62,$M2))</f>
        <v/>
      </c>
      <c r="J2" s="18" t="str">
        <f aca="false">IF($M2="","","Export: "&amp;IF(INDEX('Inspection Log'!$AS$3:$AS$62,$M2)="","NOT CLEAR",INDEX('Inspection Log'!$AS$3:$AS$62,$M2))&amp;" / U.S.: "&amp;IF(INDEX('Inspection Log'!$AT$3:$AT$62,$M2)="","NOT CLEAR",INDEX('Inspection Log'!$AT$3:$AT$62,$M2))&amp;". "&amp;INDEX('Inspection Log'!$AU$3:$AU$62,$M2))</f>
        <v/>
      </c>
      <c r="K2" s="18" t="str">
        <f aca="false">IF($M2="","",INDEX('Inspection Log'!$BB$3:$BB$62,$M2))</f>
        <v/>
      </c>
      <c r="L2" s="19" t="str">
        <f aca="false">IF($M2="","",HYPERLINK(INDEX('Inspection Log'!$D$3:$D$62,$M2),INDEX('Inspection Log'!$D$3:$D$62,$M2)))</f>
        <v/>
      </c>
      <c r="M2" s="20" t="str">
        <f aca="false">IFERROR(MATCH(A2,Scoring!$S$6:$S$65,0),"")</f>
        <v/>
      </c>
    </row>
    <row r="3" customFormat="false" ht="60" hidden="false" customHeight="true" outlineLevel="0" collapsed="false">
      <c r="A3" s="18" t="n">
        <v>2</v>
      </c>
      <c r="B3" s="18" t="str">
        <f aca="false">IF($M3="","",INDEX('Inspection Log'!$B$3:$B$62,$M3))</f>
        <v/>
      </c>
      <c r="C3" s="18" t="str">
        <f aca="false">IF($M3="","",INDEX(Scoring!$K$6:$K$65,$M3))</f>
        <v/>
      </c>
      <c r="D3" s="18" t="str">
        <f aca="false">IF($M3="","",INDEX(Scoring!$Q$6:$Q$65,$M3))</f>
        <v/>
      </c>
      <c r="E3" s="18" t="str">
        <f aca="false">IF($M3="","",INDEX(Scoring!$C$6:$C$65,$M3)&amp;"/25 – evidence: "&amp;IF(INDEX('Inspection Log'!$N$3:$N$62,$M3)="","NOT CLEAR",INDEX('Inspection Log'!$N$3:$N$62,$M3))&amp;". "&amp;INDEX('Inspection Log'!$M$3:$M$62,$M3))</f>
        <v/>
      </c>
      <c r="F3" s="18" t="str">
        <f aca="false">IF($M3="","",INDEX(Scoring!$D$6:$D$65,$M3)&amp;"/20 – full customization: "&amp;IF(INDEX('Inspection Log'!$AO$3:$AO$62,$M3)="","NOT CLEAR",INDEX('Inspection Log'!$AO$3:$AO$62,$M3))&amp;". "&amp;INDEX('Inspection Log'!$AN$3:$AN$62,$M3))</f>
        <v/>
      </c>
      <c r="G3" s="18" t="str">
        <f aca="false">IF($M3="","","Verified: "&amp;IF(INDEX('Inspection Log'!$V$3:$V$62,$M3)="","NOT CLEAR",INDEX('Inspection Log'!$V$3:$V$62,$M3))&amp;" / On-site: "&amp;IF(INDEX('Inspection Log'!$X$3:$X$62,$M3)="","NOT SHOWN",INDEX('Inspection Log'!$X$3:$X$62,$M3))&amp;" / 3rd-party: "&amp;IF(INDEX('Inspection Log'!$Y$3:$Y$62,$M3)="","NOT SHOWN",INDEX('Inspection Log'!$Y$3:$Y$62,$M3))&amp;" / Verifier: "&amp;IF(INDEX('Inspection Log'!$W$3:$W$62,$M3)="","NOT SHOWN",INDEX('Inspection Log'!$W$3:$W$62,$M3)))</f>
        <v/>
      </c>
      <c r="H3" s="18" t="str">
        <f aca="false">IF($M3="","",IF(INDEX('Inspection Log'!$AF$3:$AF$62,$M3)="","NOT SHOWN",INDEX('Inspection Log'!$AF$3:$AF$62,$M3))&amp;"/5 from "&amp;IF(INDEX('Inspection Log'!$AG$3:$AG$62,$M3)="","NOT SHOWN",INDEX('Inspection Log'!$AG$3:$AG$62,$M3))&amp;" reviews. "&amp;INDEX('Inspection Log'!$AI$3:$AI$62,$M3))</f>
        <v/>
      </c>
      <c r="I3" s="18" t="str">
        <f aca="false">IF($M3="","","Bad reviews: "&amp;IF(INDEX('Inspection Log'!$AM$3:$AM$62,$M3)="","NOT CLEAR",INDEX('Inspection Log'!$AM$3:$AM$62,$M3))&amp;"; repeated: "&amp;IF(INDEX('Inspection Log'!$AL$3:$AL$62,$M3)="","NOT CLEAR",INDEX('Inspection Log'!$AL$3:$AL$62,$M3))&amp;". "&amp;INDEX('Inspection Log'!$AJ$3:$AJ$62,$M3)&amp;" "&amp;INDEX('Inspection Log'!$AK$3:$AK$62,$M3))</f>
        <v/>
      </c>
      <c r="J3" s="18" t="str">
        <f aca="false">IF($M3="","","Export: "&amp;IF(INDEX('Inspection Log'!$AS$3:$AS$62,$M3)="","NOT CLEAR",INDEX('Inspection Log'!$AS$3:$AS$62,$M3))&amp;" / U.S.: "&amp;IF(INDEX('Inspection Log'!$AT$3:$AT$62,$M3)="","NOT CLEAR",INDEX('Inspection Log'!$AT$3:$AT$62,$M3))&amp;". "&amp;INDEX('Inspection Log'!$AU$3:$AU$62,$M3))</f>
        <v/>
      </c>
      <c r="K3" s="18" t="str">
        <f aca="false">IF($M3="","",INDEX('Inspection Log'!$BB$3:$BB$62,$M3))</f>
        <v/>
      </c>
      <c r="L3" s="19" t="str">
        <f aca="false">IF($M3="","",HYPERLINK(INDEX('Inspection Log'!$D$3:$D$62,$M3),INDEX('Inspection Log'!$D$3:$D$62,$M3)))</f>
        <v/>
      </c>
      <c r="M3" s="20" t="str">
        <f aca="false">IFERROR(MATCH(A3,Scoring!$S$6:$S$65,0),"")</f>
        <v/>
      </c>
    </row>
    <row r="4" customFormat="false" ht="60" hidden="false" customHeight="true" outlineLevel="0" collapsed="false">
      <c r="A4" s="18" t="n">
        <v>3</v>
      </c>
      <c r="B4" s="18" t="str">
        <f aca="false">IF($M4="","",INDEX('Inspection Log'!$B$3:$B$62,$M4))</f>
        <v/>
      </c>
      <c r="C4" s="18" t="str">
        <f aca="false">IF($M4="","",INDEX(Scoring!$K$6:$K$65,$M4))</f>
        <v/>
      </c>
      <c r="D4" s="18" t="str">
        <f aca="false">IF($M4="","",INDEX(Scoring!$Q$6:$Q$65,$M4))</f>
        <v/>
      </c>
      <c r="E4" s="18" t="str">
        <f aca="false">IF($M4="","",INDEX(Scoring!$C$6:$C$65,$M4)&amp;"/25 – evidence: "&amp;IF(INDEX('Inspection Log'!$N$3:$N$62,$M4)="","NOT CLEAR",INDEX('Inspection Log'!$N$3:$N$62,$M4))&amp;". "&amp;INDEX('Inspection Log'!$M$3:$M$62,$M4))</f>
        <v/>
      </c>
      <c r="F4" s="18" t="str">
        <f aca="false">IF($M4="","",INDEX(Scoring!$D$6:$D$65,$M4)&amp;"/20 – full customization: "&amp;IF(INDEX('Inspection Log'!$AO$3:$AO$62,$M4)="","NOT CLEAR",INDEX('Inspection Log'!$AO$3:$AO$62,$M4))&amp;". "&amp;INDEX('Inspection Log'!$AN$3:$AN$62,$M4))</f>
        <v/>
      </c>
      <c r="G4" s="18" t="str">
        <f aca="false">IF($M4="","","Verified: "&amp;IF(INDEX('Inspection Log'!$V$3:$V$62,$M4)="","NOT CLEAR",INDEX('Inspection Log'!$V$3:$V$62,$M4))&amp;" / On-site: "&amp;IF(INDEX('Inspection Log'!$X$3:$X$62,$M4)="","NOT SHOWN",INDEX('Inspection Log'!$X$3:$X$62,$M4))&amp;" / 3rd-party: "&amp;IF(INDEX('Inspection Log'!$Y$3:$Y$62,$M4)="","NOT SHOWN",INDEX('Inspection Log'!$Y$3:$Y$62,$M4))&amp;" / Verifier: "&amp;IF(INDEX('Inspection Log'!$W$3:$W$62,$M4)="","NOT SHOWN",INDEX('Inspection Log'!$W$3:$W$62,$M4)))</f>
        <v/>
      </c>
      <c r="H4" s="18" t="str">
        <f aca="false">IF($M4="","",IF(INDEX('Inspection Log'!$AF$3:$AF$62,$M4)="","NOT SHOWN",INDEX('Inspection Log'!$AF$3:$AF$62,$M4))&amp;"/5 from "&amp;IF(INDEX('Inspection Log'!$AG$3:$AG$62,$M4)="","NOT SHOWN",INDEX('Inspection Log'!$AG$3:$AG$62,$M4))&amp;" reviews. "&amp;INDEX('Inspection Log'!$AI$3:$AI$62,$M4))</f>
        <v/>
      </c>
      <c r="I4" s="18" t="str">
        <f aca="false">IF($M4="","","Bad reviews: "&amp;IF(INDEX('Inspection Log'!$AM$3:$AM$62,$M4)="","NOT CLEAR",INDEX('Inspection Log'!$AM$3:$AM$62,$M4))&amp;"; repeated: "&amp;IF(INDEX('Inspection Log'!$AL$3:$AL$62,$M4)="","NOT CLEAR",INDEX('Inspection Log'!$AL$3:$AL$62,$M4))&amp;". "&amp;INDEX('Inspection Log'!$AJ$3:$AJ$62,$M4)&amp;" "&amp;INDEX('Inspection Log'!$AK$3:$AK$62,$M4))</f>
        <v/>
      </c>
      <c r="J4" s="18" t="str">
        <f aca="false">IF($M4="","","Export: "&amp;IF(INDEX('Inspection Log'!$AS$3:$AS$62,$M4)="","NOT CLEAR",INDEX('Inspection Log'!$AS$3:$AS$62,$M4))&amp;" / U.S.: "&amp;IF(INDEX('Inspection Log'!$AT$3:$AT$62,$M4)="","NOT CLEAR",INDEX('Inspection Log'!$AT$3:$AT$62,$M4))&amp;". "&amp;INDEX('Inspection Log'!$AU$3:$AU$62,$M4))</f>
        <v/>
      </c>
      <c r="K4" s="18" t="str">
        <f aca="false">IF($M4="","",INDEX('Inspection Log'!$BB$3:$BB$62,$M4))</f>
        <v/>
      </c>
      <c r="L4" s="19" t="str">
        <f aca="false">IF($M4="","",HYPERLINK(INDEX('Inspection Log'!$D$3:$D$62,$M4),INDEX('Inspection Log'!$D$3:$D$62,$M4)))</f>
        <v/>
      </c>
      <c r="M4" s="20" t="str">
        <f aca="false">IFERROR(MATCH(A4,Scoring!$S$6:$S$65,0),"")</f>
        <v/>
      </c>
    </row>
    <row r="5" customFormat="false" ht="60" hidden="false" customHeight="true" outlineLevel="0" collapsed="false">
      <c r="A5" s="18" t="n">
        <v>4</v>
      </c>
      <c r="B5" s="18" t="str">
        <f aca="false">IF($M5="","",INDEX('Inspection Log'!$B$3:$B$62,$M5))</f>
        <v/>
      </c>
      <c r="C5" s="18" t="str">
        <f aca="false">IF($M5="","",INDEX(Scoring!$K$6:$K$65,$M5))</f>
        <v/>
      </c>
      <c r="D5" s="18" t="str">
        <f aca="false">IF($M5="","",INDEX(Scoring!$Q$6:$Q$65,$M5))</f>
        <v/>
      </c>
      <c r="E5" s="18" t="str">
        <f aca="false">IF($M5="","",INDEX(Scoring!$C$6:$C$65,$M5)&amp;"/25 – evidence: "&amp;IF(INDEX('Inspection Log'!$N$3:$N$62,$M5)="","NOT CLEAR",INDEX('Inspection Log'!$N$3:$N$62,$M5))&amp;". "&amp;INDEX('Inspection Log'!$M$3:$M$62,$M5))</f>
        <v/>
      </c>
      <c r="F5" s="18" t="str">
        <f aca="false">IF($M5="","",INDEX(Scoring!$D$6:$D$65,$M5)&amp;"/20 – full customization: "&amp;IF(INDEX('Inspection Log'!$AO$3:$AO$62,$M5)="","NOT CLEAR",INDEX('Inspection Log'!$AO$3:$AO$62,$M5))&amp;". "&amp;INDEX('Inspection Log'!$AN$3:$AN$62,$M5))</f>
        <v/>
      </c>
      <c r="G5" s="18" t="str">
        <f aca="false">IF($M5="","","Verified: "&amp;IF(INDEX('Inspection Log'!$V$3:$V$62,$M5)="","NOT CLEAR",INDEX('Inspection Log'!$V$3:$V$62,$M5))&amp;" / On-site: "&amp;IF(INDEX('Inspection Log'!$X$3:$X$62,$M5)="","NOT SHOWN",INDEX('Inspection Log'!$X$3:$X$62,$M5))&amp;" / 3rd-party: "&amp;IF(INDEX('Inspection Log'!$Y$3:$Y$62,$M5)="","NOT SHOWN",INDEX('Inspection Log'!$Y$3:$Y$62,$M5))&amp;" / Verifier: "&amp;IF(INDEX('Inspection Log'!$W$3:$W$62,$M5)="","NOT SHOWN",INDEX('Inspection Log'!$W$3:$W$62,$M5)))</f>
        <v/>
      </c>
      <c r="H5" s="18" t="str">
        <f aca="false">IF($M5="","",IF(INDEX('Inspection Log'!$AF$3:$AF$62,$M5)="","NOT SHOWN",INDEX('Inspection Log'!$AF$3:$AF$62,$M5))&amp;"/5 from "&amp;IF(INDEX('Inspection Log'!$AG$3:$AG$62,$M5)="","NOT SHOWN",INDEX('Inspection Log'!$AG$3:$AG$62,$M5))&amp;" reviews. "&amp;INDEX('Inspection Log'!$AI$3:$AI$62,$M5))</f>
        <v/>
      </c>
      <c r="I5" s="18" t="str">
        <f aca="false">IF($M5="","","Bad reviews: "&amp;IF(INDEX('Inspection Log'!$AM$3:$AM$62,$M5)="","NOT CLEAR",INDEX('Inspection Log'!$AM$3:$AM$62,$M5))&amp;"; repeated: "&amp;IF(INDEX('Inspection Log'!$AL$3:$AL$62,$M5)="","NOT CLEAR",INDEX('Inspection Log'!$AL$3:$AL$62,$M5))&amp;". "&amp;INDEX('Inspection Log'!$AJ$3:$AJ$62,$M5)&amp;" "&amp;INDEX('Inspection Log'!$AK$3:$AK$62,$M5))</f>
        <v/>
      </c>
      <c r="J5" s="18" t="str">
        <f aca="false">IF($M5="","","Export: "&amp;IF(INDEX('Inspection Log'!$AS$3:$AS$62,$M5)="","NOT CLEAR",INDEX('Inspection Log'!$AS$3:$AS$62,$M5))&amp;" / U.S.: "&amp;IF(INDEX('Inspection Log'!$AT$3:$AT$62,$M5)="","NOT CLEAR",INDEX('Inspection Log'!$AT$3:$AT$62,$M5))&amp;". "&amp;INDEX('Inspection Log'!$AU$3:$AU$62,$M5))</f>
        <v/>
      </c>
      <c r="K5" s="18" t="str">
        <f aca="false">IF($M5="","",INDEX('Inspection Log'!$BB$3:$BB$62,$M5))</f>
        <v/>
      </c>
      <c r="L5" s="19" t="str">
        <f aca="false">IF($M5="","",HYPERLINK(INDEX('Inspection Log'!$D$3:$D$62,$M5),INDEX('Inspection Log'!$D$3:$D$62,$M5)))</f>
        <v/>
      </c>
      <c r="M5" s="20" t="str">
        <f aca="false">IFERROR(MATCH(A5,Scoring!$S$6:$S$65,0),"")</f>
        <v/>
      </c>
    </row>
    <row r="6" customFormat="false" ht="60" hidden="false" customHeight="true" outlineLevel="0" collapsed="false">
      <c r="A6" s="18" t="n">
        <v>5</v>
      </c>
      <c r="B6" s="18" t="str">
        <f aca="false">IF($M6="","",INDEX('Inspection Log'!$B$3:$B$62,$M6))</f>
        <v/>
      </c>
      <c r="C6" s="18" t="str">
        <f aca="false">IF($M6="","",INDEX(Scoring!$K$6:$K$65,$M6))</f>
        <v/>
      </c>
      <c r="D6" s="18" t="str">
        <f aca="false">IF($M6="","",INDEX(Scoring!$Q$6:$Q$65,$M6))</f>
        <v/>
      </c>
      <c r="E6" s="18" t="str">
        <f aca="false">IF($M6="","",INDEX(Scoring!$C$6:$C$65,$M6)&amp;"/25 – evidence: "&amp;IF(INDEX('Inspection Log'!$N$3:$N$62,$M6)="","NOT CLEAR",INDEX('Inspection Log'!$N$3:$N$62,$M6))&amp;". "&amp;INDEX('Inspection Log'!$M$3:$M$62,$M6))</f>
        <v/>
      </c>
      <c r="F6" s="18" t="str">
        <f aca="false">IF($M6="","",INDEX(Scoring!$D$6:$D$65,$M6)&amp;"/20 – full customization: "&amp;IF(INDEX('Inspection Log'!$AO$3:$AO$62,$M6)="","NOT CLEAR",INDEX('Inspection Log'!$AO$3:$AO$62,$M6))&amp;". "&amp;INDEX('Inspection Log'!$AN$3:$AN$62,$M6))</f>
        <v/>
      </c>
      <c r="G6" s="18" t="str">
        <f aca="false">IF($M6="","","Verified: "&amp;IF(INDEX('Inspection Log'!$V$3:$V$62,$M6)="","NOT CLEAR",INDEX('Inspection Log'!$V$3:$V$62,$M6))&amp;" / On-site: "&amp;IF(INDEX('Inspection Log'!$X$3:$X$62,$M6)="","NOT SHOWN",INDEX('Inspection Log'!$X$3:$X$62,$M6))&amp;" / 3rd-party: "&amp;IF(INDEX('Inspection Log'!$Y$3:$Y$62,$M6)="","NOT SHOWN",INDEX('Inspection Log'!$Y$3:$Y$62,$M6))&amp;" / Verifier: "&amp;IF(INDEX('Inspection Log'!$W$3:$W$62,$M6)="","NOT SHOWN",INDEX('Inspection Log'!$W$3:$W$62,$M6)))</f>
        <v/>
      </c>
      <c r="H6" s="18" t="str">
        <f aca="false">IF($M6="","",IF(INDEX('Inspection Log'!$AF$3:$AF$62,$M6)="","NOT SHOWN",INDEX('Inspection Log'!$AF$3:$AF$62,$M6))&amp;"/5 from "&amp;IF(INDEX('Inspection Log'!$AG$3:$AG$62,$M6)="","NOT SHOWN",INDEX('Inspection Log'!$AG$3:$AG$62,$M6))&amp;" reviews. "&amp;INDEX('Inspection Log'!$AI$3:$AI$62,$M6))</f>
        <v/>
      </c>
      <c r="I6" s="18" t="str">
        <f aca="false">IF($M6="","","Bad reviews: "&amp;IF(INDEX('Inspection Log'!$AM$3:$AM$62,$M6)="","NOT CLEAR",INDEX('Inspection Log'!$AM$3:$AM$62,$M6))&amp;"; repeated: "&amp;IF(INDEX('Inspection Log'!$AL$3:$AL$62,$M6)="","NOT CLEAR",INDEX('Inspection Log'!$AL$3:$AL$62,$M6))&amp;". "&amp;INDEX('Inspection Log'!$AJ$3:$AJ$62,$M6)&amp;" "&amp;INDEX('Inspection Log'!$AK$3:$AK$62,$M6))</f>
        <v/>
      </c>
      <c r="J6" s="18" t="str">
        <f aca="false">IF($M6="","","Export: "&amp;IF(INDEX('Inspection Log'!$AS$3:$AS$62,$M6)="","NOT CLEAR",INDEX('Inspection Log'!$AS$3:$AS$62,$M6))&amp;" / U.S.: "&amp;IF(INDEX('Inspection Log'!$AT$3:$AT$62,$M6)="","NOT CLEAR",INDEX('Inspection Log'!$AT$3:$AT$62,$M6))&amp;". "&amp;INDEX('Inspection Log'!$AU$3:$AU$62,$M6))</f>
        <v/>
      </c>
      <c r="K6" s="18" t="str">
        <f aca="false">IF($M6="","",INDEX('Inspection Log'!$BB$3:$BB$62,$M6))</f>
        <v/>
      </c>
      <c r="L6" s="19" t="str">
        <f aca="false">IF($M6="","",HYPERLINK(INDEX('Inspection Log'!$D$3:$D$62,$M6),INDEX('Inspection Log'!$D$3:$D$62,$M6)))</f>
        <v/>
      </c>
      <c r="M6" s="20" t="str">
        <f aca="false">IFERROR(MATCH(A6,Scoring!$S$6:$S$65,0),"")</f>
        <v/>
      </c>
    </row>
    <row r="7" customFormat="false" ht="60" hidden="false" customHeight="true" outlineLevel="0" collapsed="false">
      <c r="A7" s="18" t="n">
        <v>6</v>
      </c>
      <c r="B7" s="18" t="str">
        <f aca="false">IF($M7="","",INDEX('Inspection Log'!$B$3:$B$62,$M7))</f>
        <v/>
      </c>
      <c r="C7" s="18" t="str">
        <f aca="false">IF($M7="","",INDEX(Scoring!$K$6:$K$65,$M7))</f>
        <v/>
      </c>
      <c r="D7" s="18" t="str">
        <f aca="false">IF($M7="","",INDEX(Scoring!$Q$6:$Q$65,$M7))</f>
        <v/>
      </c>
      <c r="E7" s="18" t="str">
        <f aca="false">IF($M7="","",INDEX(Scoring!$C$6:$C$65,$M7)&amp;"/25 – evidence: "&amp;IF(INDEX('Inspection Log'!$N$3:$N$62,$M7)="","NOT CLEAR",INDEX('Inspection Log'!$N$3:$N$62,$M7))&amp;". "&amp;INDEX('Inspection Log'!$M$3:$M$62,$M7))</f>
        <v/>
      </c>
      <c r="F7" s="18" t="str">
        <f aca="false">IF($M7="","",INDEX(Scoring!$D$6:$D$65,$M7)&amp;"/20 – full customization: "&amp;IF(INDEX('Inspection Log'!$AO$3:$AO$62,$M7)="","NOT CLEAR",INDEX('Inspection Log'!$AO$3:$AO$62,$M7))&amp;". "&amp;INDEX('Inspection Log'!$AN$3:$AN$62,$M7))</f>
        <v/>
      </c>
      <c r="G7" s="18" t="str">
        <f aca="false">IF($M7="","","Verified: "&amp;IF(INDEX('Inspection Log'!$V$3:$V$62,$M7)="","NOT CLEAR",INDEX('Inspection Log'!$V$3:$V$62,$M7))&amp;" / On-site: "&amp;IF(INDEX('Inspection Log'!$X$3:$X$62,$M7)="","NOT SHOWN",INDEX('Inspection Log'!$X$3:$X$62,$M7))&amp;" / 3rd-party: "&amp;IF(INDEX('Inspection Log'!$Y$3:$Y$62,$M7)="","NOT SHOWN",INDEX('Inspection Log'!$Y$3:$Y$62,$M7))&amp;" / Verifier: "&amp;IF(INDEX('Inspection Log'!$W$3:$W$62,$M7)="","NOT SHOWN",INDEX('Inspection Log'!$W$3:$W$62,$M7)))</f>
        <v/>
      </c>
      <c r="H7" s="18" t="str">
        <f aca="false">IF($M7="","",IF(INDEX('Inspection Log'!$AF$3:$AF$62,$M7)="","NOT SHOWN",INDEX('Inspection Log'!$AF$3:$AF$62,$M7))&amp;"/5 from "&amp;IF(INDEX('Inspection Log'!$AG$3:$AG$62,$M7)="","NOT SHOWN",INDEX('Inspection Log'!$AG$3:$AG$62,$M7))&amp;" reviews. "&amp;INDEX('Inspection Log'!$AI$3:$AI$62,$M7))</f>
        <v/>
      </c>
      <c r="I7" s="18" t="str">
        <f aca="false">IF($M7="","","Bad reviews: "&amp;IF(INDEX('Inspection Log'!$AM$3:$AM$62,$M7)="","NOT CLEAR",INDEX('Inspection Log'!$AM$3:$AM$62,$M7))&amp;"; repeated: "&amp;IF(INDEX('Inspection Log'!$AL$3:$AL$62,$M7)="","NOT CLEAR",INDEX('Inspection Log'!$AL$3:$AL$62,$M7))&amp;". "&amp;INDEX('Inspection Log'!$AJ$3:$AJ$62,$M7)&amp;" "&amp;INDEX('Inspection Log'!$AK$3:$AK$62,$M7))</f>
        <v/>
      </c>
      <c r="J7" s="18" t="str">
        <f aca="false">IF($M7="","","Export: "&amp;IF(INDEX('Inspection Log'!$AS$3:$AS$62,$M7)="","NOT CLEAR",INDEX('Inspection Log'!$AS$3:$AS$62,$M7))&amp;" / U.S.: "&amp;IF(INDEX('Inspection Log'!$AT$3:$AT$62,$M7)="","NOT CLEAR",INDEX('Inspection Log'!$AT$3:$AT$62,$M7))&amp;". "&amp;INDEX('Inspection Log'!$AU$3:$AU$62,$M7))</f>
        <v/>
      </c>
      <c r="K7" s="18" t="str">
        <f aca="false">IF($M7="","",INDEX('Inspection Log'!$BB$3:$BB$62,$M7))</f>
        <v/>
      </c>
      <c r="L7" s="19" t="str">
        <f aca="false">IF($M7="","",HYPERLINK(INDEX('Inspection Log'!$D$3:$D$62,$M7),INDEX('Inspection Log'!$D$3:$D$62,$M7)))</f>
        <v/>
      </c>
      <c r="M7" s="20" t="str">
        <f aca="false">IFERROR(MATCH(A7,Scoring!$S$6:$S$65,0),"")</f>
        <v/>
      </c>
    </row>
    <row r="8" customFormat="false" ht="60" hidden="false" customHeight="true" outlineLevel="0" collapsed="false">
      <c r="A8" s="18" t="n">
        <v>7</v>
      </c>
      <c r="B8" s="18" t="str">
        <f aca="false">IF($M8="","",INDEX('Inspection Log'!$B$3:$B$62,$M8))</f>
        <v/>
      </c>
      <c r="C8" s="18" t="str">
        <f aca="false">IF($M8="","",INDEX(Scoring!$K$6:$K$65,$M8))</f>
        <v/>
      </c>
      <c r="D8" s="18" t="str">
        <f aca="false">IF($M8="","",INDEX(Scoring!$Q$6:$Q$65,$M8))</f>
        <v/>
      </c>
      <c r="E8" s="18" t="str">
        <f aca="false">IF($M8="","",INDEX(Scoring!$C$6:$C$65,$M8)&amp;"/25 – evidence: "&amp;IF(INDEX('Inspection Log'!$N$3:$N$62,$M8)="","NOT CLEAR",INDEX('Inspection Log'!$N$3:$N$62,$M8))&amp;". "&amp;INDEX('Inspection Log'!$M$3:$M$62,$M8))</f>
        <v/>
      </c>
      <c r="F8" s="18" t="str">
        <f aca="false">IF($M8="","",INDEX(Scoring!$D$6:$D$65,$M8)&amp;"/20 – full customization: "&amp;IF(INDEX('Inspection Log'!$AO$3:$AO$62,$M8)="","NOT CLEAR",INDEX('Inspection Log'!$AO$3:$AO$62,$M8))&amp;". "&amp;INDEX('Inspection Log'!$AN$3:$AN$62,$M8))</f>
        <v/>
      </c>
      <c r="G8" s="18" t="str">
        <f aca="false">IF($M8="","","Verified: "&amp;IF(INDEX('Inspection Log'!$V$3:$V$62,$M8)="","NOT CLEAR",INDEX('Inspection Log'!$V$3:$V$62,$M8))&amp;" / On-site: "&amp;IF(INDEX('Inspection Log'!$X$3:$X$62,$M8)="","NOT SHOWN",INDEX('Inspection Log'!$X$3:$X$62,$M8))&amp;" / 3rd-party: "&amp;IF(INDEX('Inspection Log'!$Y$3:$Y$62,$M8)="","NOT SHOWN",INDEX('Inspection Log'!$Y$3:$Y$62,$M8))&amp;" / Verifier: "&amp;IF(INDEX('Inspection Log'!$W$3:$W$62,$M8)="","NOT SHOWN",INDEX('Inspection Log'!$W$3:$W$62,$M8)))</f>
        <v/>
      </c>
      <c r="H8" s="18" t="str">
        <f aca="false">IF($M8="","",IF(INDEX('Inspection Log'!$AF$3:$AF$62,$M8)="","NOT SHOWN",INDEX('Inspection Log'!$AF$3:$AF$62,$M8))&amp;"/5 from "&amp;IF(INDEX('Inspection Log'!$AG$3:$AG$62,$M8)="","NOT SHOWN",INDEX('Inspection Log'!$AG$3:$AG$62,$M8))&amp;" reviews. "&amp;INDEX('Inspection Log'!$AI$3:$AI$62,$M8))</f>
        <v/>
      </c>
      <c r="I8" s="18" t="str">
        <f aca="false">IF($M8="","","Bad reviews: "&amp;IF(INDEX('Inspection Log'!$AM$3:$AM$62,$M8)="","NOT CLEAR",INDEX('Inspection Log'!$AM$3:$AM$62,$M8))&amp;"; repeated: "&amp;IF(INDEX('Inspection Log'!$AL$3:$AL$62,$M8)="","NOT CLEAR",INDEX('Inspection Log'!$AL$3:$AL$62,$M8))&amp;". "&amp;INDEX('Inspection Log'!$AJ$3:$AJ$62,$M8)&amp;" "&amp;INDEX('Inspection Log'!$AK$3:$AK$62,$M8))</f>
        <v/>
      </c>
      <c r="J8" s="18" t="str">
        <f aca="false">IF($M8="","","Export: "&amp;IF(INDEX('Inspection Log'!$AS$3:$AS$62,$M8)="","NOT CLEAR",INDEX('Inspection Log'!$AS$3:$AS$62,$M8))&amp;" / U.S.: "&amp;IF(INDEX('Inspection Log'!$AT$3:$AT$62,$M8)="","NOT CLEAR",INDEX('Inspection Log'!$AT$3:$AT$62,$M8))&amp;". "&amp;INDEX('Inspection Log'!$AU$3:$AU$62,$M8))</f>
        <v/>
      </c>
      <c r="K8" s="18" t="str">
        <f aca="false">IF($M8="","",INDEX('Inspection Log'!$BB$3:$BB$62,$M8))</f>
        <v/>
      </c>
      <c r="L8" s="19" t="str">
        <f aca="false">IF($M8="","",HYPERLINK(INDEX('Inspection Log'!$D$3:$D$62,$M8),INDEX('Inspection Log'!$D$3:$D$62,$M8)))</f>
        <v/>
      </c>
      <c r="M8" s="20" t="str">
        <f aca="false">IFERROR(MATCH(A8,Scoring!$S$6:$S$65,0),"")</f>
        <v/>
      </c>
    </row>
    <row r="9" customFormat="false" ht="60" hidden="false" customHeight="true" outlineLevel="0" collapsed="false">
      <c r="A9" s="18" t="n">
        <v>8</v>
      </c>
      <c r="B9" s="18" t="str">
        <f aca="false">IF($M9="","",INDEX('Inspection Log'!$B$3:$B$62,$M9))</f>
        <v/>
      </c>
      <c r="C9" s="18" t="str">
        <f aca="false">IF($M9="","",INDEX(Scoring!$K$6:$K$65,$M9))</f>
        <v/>
      </c>
      <c r="D9" s="18" t="str">
        <f aca="false">IF($M9="","",INDEX(Scoring!$Q$6:$Q$65,$M9))</f>
        <v/>
      </c>
      <c r="E9" s="18" t="str">
        <f aca="false">IF($M9="","",INDEX(Scoring!$C$6:$C$65,$M9)&amp;"/25 – evidence: "&amp;IF(INDEX('Inspection Log'!$N$3:$N$62,$M9)="","NOT CLEAR",INDEX('Inspection Log'!$N$3:$N$62,$M9))&amp;". "&amp;INDEX('Inspection Log'!$M$3:$M$62,$M9))</f>
        <v/>
      </c>
      <c r="F9" s="18" t="str">
        <f aca="false">IF($M9="","",INDEX(Scoring!$D$6:$D$65,$M9)&amp;"/20 – full customization: "&amp;IF(INDEX('Inspection Log'!$AO$3:$AO$62,$M9)="","NOT CLEAR",INDEX('Inspection Log'!$AO$3:$AO$62,$M9))&amp;". "&amp;INDEX('Inspection Log'!$AN$3:$AN$62,$M9))</f>
        <v/>
      </c>
      <c r="G9" s="18" t="str">
        <f aca="false">IF($M9="","","Verified: "&amp;IF(INDEX('Inspection Log'!$V$3:$V$62,$M9)="","NOT CLEAR",INDEX('Inspection Log'!$V$3:$V$62,$M9))&amp;" / On-site: "&amp;IF(INDEX('Inspection Log'!$X$3:$X$62,$M9)="","NOT SHOWN",INDEX('Inspection Log'!$X$3:$X$62,$M9))&amp;" / 3rd-party: "&amp;IF(INDEX('Inspection Log'!$Y$3:$Y$62,$M9)="","NOT SHOWN",INDEX('Inspection Log'!$Y$3:$Y$62,$M9))&amp;" / Verifier: "&amp;IF(INDEX('Inspection Log'!$W$3:$W$62,$M9)="","NOT SHOWN",INDEX('Inspection Log'!$W$3:$W$62,$M9)))</f>
        <v/>
      </c>
      <c r="H9" s="18" t="str">
        <f aca="false">IF($M9="","",IF(INDEX('Inspection Log'!$AF$3:$AF$62,$M9)="","NOT SHOWN",INDEX('Inspection Log'!$AF$3:$AF$62,$M9))&amp;"/5 from "&amp;IF(INDEX('Inspection Log'!$AG$3:$AG$62,$M9)="","NOT SHOWN",INDEX('Inspection Log'!$AG$3:$AG$62,$M9))&amp;" reviews. "&amp;INDEX('Inspection Log'!$AI$3:$AI$62,$M9))</f>
        <v/>
      </c>
      <c r="I9" s="18" t="str">
        <f aca="false">IF($M9="","","Bad reviews: "&amp;IF(INDEX('Inspection Log'!$AM$3:$AM$62,$M9)="","NOT CLEAR",INDEX('Inspection Log'!$AM$3:$AM$62,$M9))&amp;"; repeated: "&amp;IF(INDEX('Inspection Log'!$AL$3:$AL$62,$M9)="","NOT CLEAR",INDEX('Inspection Log'!$AL$3:$AL$62,$M9))&amp;". "&amp;INDEX('Inspection Log'!$AJ$3:$AJ$62,$M9)&amp;" "&amp;INDEX('Inspection Log'!$AK$3:$AK$62,$M9))</f>
        <v/>
      </c>
      <c r="J9" s="18" t="str">
        <f aca="false">IF($M9="","","Export: "&amp;IF(INDEX('Inspection Log'!$AS$3:$AS$62,$M9)="","NOT CLEAR",INDEX('Inspection Log'!$AS$3:$AS$62,$M9))&amp;" / U.S.: "&amp;IF(INDEX('Inspection Log'!$AT$3:$AT$62,$M9)="","NOT CLEAR",INDEX('Inspection Log'!$AT$3:$AT$62,$M9))&amp;". "&amp;INDEX('Inspection Log'!$AU$3:$AU$62,$M9))</f>
        <v/>
      </c>
      <c r="K9" s="18" t="str">
        <f aca="false">IF($M9="","",INDEX('Inspection Log'!$BB$3:$BB$62,$M9))</f>
        <v/>
      </c>
      <c r="L9" s="19" t="str">
        <f aca="false">IF($M9="","",HYPERLINK(INDEX('Inspection Log'!$D$3:$D$62,$M9),INDEX('Inspection Log'!$D$3:$D$62,$M9)))</f>
        <v/>
      </c>
      <c r="M9" s="20" t="str">
        <f aca="false">IFERROR(MATCH(A9,Scoring!$S$6:$S$65,0),"")</f>
        <v/>
      </c>
    </row>
    <row r="10" customFormat="false" ht="60" hidden="false" customHeight="true" outlineLevel="0" collapsed="false">
      <c r="A10" s="18" t="n">
        <v>9</v>
      </c>
      <c r="B10" s="18" t="str">
        <f aca="false">IF($M10="","",INDEX('Inspection Log'!$B$3:$B$62,$M10))</f>
        <v/>
      </c>
      <c r="C10" s="18" t="str">
        <f aca="false">IF($M10="","",INDEX(Scoring!$K$6:$K$65,$M10))</f>
        <v/>
      </c>
      <c r="D10" s="18" t="str">
        <f aca="false">IF($M10="","",INDEX(Scoring!$Q$6:$Q$65,$M10))</f>
        <v/>
      </c>
      <c r="E10" s="18" t="str">
        <f aca="false">IF($M10="","",INDEX(Scoring!$C$6:$C$65,$M10)&amp;"/25 – evidence: "&amp;IF(INDEX('Inspection Log'!$N$3:$N$62,$M10)="","NOT CLEAR",INDEX('Inspection Log'!$N$3:$N$62,$M10))&amp;". "&amp;INDEX('Inspection Log'!$M$3:$M$62,$M10))</f>
        <v/>
      </c>
      <c r="F10" s="18" t="str">
        <f aca="false">IF($M10="","",INDEX(Scoring!$D$6:$D$65,$M10)&amp;"/20 – full customization: "&amp;IF(INDEX('Inspection Log'!$AO$3:$AO$62,$M10)="","NOT CLEAR",INDEX('Inspection Log'!$AO$3:$AO$62,$M10))&amp;". "&amp;INDEX('Inspection Log'!$AN$3:$AN$62,$M10))</f>
        <v/>
      </c>
      <c r="G10" s="18" t="str">
        <f aca="false">IF($M10="","","Verified: "&amp;IF(INDEX('Inspection Log'!$V$3:$V$62,$M10)="","NOT CLEAR",INDEX('Inspection Log'!$V$3:$V$62,$M10))&amp;" / On-site: "&amp;IF(INDEX('Inspection Log'!$X$3:$X$62,$M10)="","NOT SHOWN",INDEX('Inspection Log'!$X$3:$X$62,$M10))&amp;" / 3rd-party: "&amp;IF(INDEX('Inspection Log'!$Y$3:$Y$62,$M10)="","NOT SHOWN",INDEX('Inspection Log'!$Y$3:$Y$62,$M10))&amp;" / Verifier: "&amp;IF(INDEX('Inspection Log'!$W$3:$W$62,$M10)="","NOT SHOWN",INDEX('Inspection Log'!$W$3:$W$62,$M10)))</f>
        <v/>
      </c>
      <c r="H10" s="18" t="str">
        <f aca="false">IF($M10="","",IF(INDEX('Inspection Log'!$AF$3:$AF$62,$M10)="","NOT SHOWN",INDEX('Inspection Log'!$AF$3:$AF$62,$M10))&amp;"/5 from "&amp;IF(INDEX('Inspection Log'!$AG$3:$AG$62,$M10)="","NOT SHOWN",INDEX('Inspection Log'!$AG$3:$AG$62,$M10))&amp;" reviews. "&amp;INDEX('Inspection Log'!$AI$3:$AI$62,$M10))</f>
        <v/>
      </c>
      <c r="I10" s="18" t="str">
        <f aca="false">IF($M10="","","Bad reviews: "&amp;IF(INDEX('Inspection Log'!$AM$3:$AM$62,$M10)="","NOT CLEAR",INDEX('Inspection Log'!$AM$3:$AM$62,$M10))&amp;"; repeated: "&amp;IF(INDEX('Inspection Log'!$AL$3:$AL$62,$M10)="","NOT CLEAR",INDEX('Inspection Log'!$AL$3:$AL$62,$M10))&amp;". "&amp;INDEX('Inspection Log'!$AJ$3:$AJ$62,$M10)&amp;" "&amp;INDEX('Inspection Log'!$AK$3:$AK$62,$M10))</f>
        <v/>
      </c>
      <c r="J10" s="18" t="str">
        <f aca="false">IF($M10="","","Export: "&amp;IF(INDEX('Inspection Log'!$AS$3:$AS$62,$M10)="","NOT CLEAR",INDEX('Inspection Log'!$AS$3:$AS$62,$M10))&amp;" / U.S.: "&amp;IF(INDEX('Inspection Log'!$AT$3:$AT$62,$M10)="","NOT CLEAR",INDEX('Inspection Log'!$AT$3:$AT$62,$M10))&amp;". "&amp;INDEX('Inspection Log'!$AU$3:$AU$62,$M10))</f>
        <v/>
      </c>
      <c r="K10" s="18" t="str">
        <f aca="false">IF($M10="","",INDEX('Inspection Log'!$BB$3:$BB$62,$M10))</f>
        <v/>
      </c>
      <c r="L10" s="19" t="str">
        <f aca="false">IF($M10="","",HYPERLINK(INDEX('Inspection Log'!$D$3:$D$62,$M10),INDEX('Inspection Log'!$D$3:$D$62,$M10)))</f>
        <v/>
      </c>
      <c r="M10" s="20" t="str">
        <f aca="false">IFERROR(MATCH(A10,Scoring!$S$6:$S$65,0),"")</f>
        <v/>
      </c>
    </row>
    <row r="11" customFormat="false" ht="60" hidden="false" customHeight="true" outlineLevel="0" collapsed="false">
      <c r="A11" s="18" t="n">
        <v>10</v>
      </c>
      <c r="B11" s="18" t="str">
        <f aca="false">IF($M11="","",INDEX('Inspection Log'!$B$3:$B$62,$M11))</f>
        <v/>
      </c>
      <c r="C11" s="18" t="str">
        <f aca="false">IF($M11="","",INDEX(Scoring!$K$6:$K$65,$M11))</f>
        <v/>
      </c>
      <c r="D11" s="18" t="str">
        <f aca="false">IF($M11="","",INDEX(Scoring!$Q$6:$Q$65,$M11))</f>
        <v/>
      </c>
      <c r="E11" s="18" t="str">
        <f aca="false">IF($M11="","",INDEX(Scoring!$C$6:$C$65,$M11)&amp;"/25 – evidence: "&amp;IF(INDEX('Inspection Log'!$N$3:$N$62,$M11)="","NOT CLEAR",INDEX('Inspection Log'!$N$3:$N$62,$M11))&amp;". "&amp;INDEX('Inspection Log'!$M$3:$M$62,$M11))</f>
        <v/>
      </c>
      <c r="F11" s="18" t="str">
        <f aca="false">IF($M11="","",INDEX(Scoring!$D$6:$D$65,$M11)&amp;"/20 – full customization: "&amp;IF(INDEX('Inspection Log'!$AO$3:$AO$62,$M11)="","NOT CLEAR",INDEX('Inspection Log'!$AO$3:$AO$62,$M11))&amp;". "&amp;INDEX('Inspection Log'!$AN$3:$AN$62,$M11))</f>
        <v/>
      </c>
      <c r="G11" s="18" t="str">
        <f aca="false">IF($M11="","","Verified: "&amp;IF(INDEX('Inspection Log'!$V$3:$V$62,$M11)="","NOT CLEAR",INDEX('Inspection Log'!$V$3:$V$62,$M11))&amp;" / On-site: "&amp;IF(INDEX('Inspection Log'!$X$3:$X$62,$M11)="","NOT SHOWN",INDEX('Inspection Log'!$X$3:$X$62,$M11))&amp;" / 3rd-party: "&amp;IF(INDEX('Inspection Log'!$Y$3:$Y$62,$M11)="","NOT SHOWN",INDEX('Inspection Log'!$Y$3:$Y$62,$M11))&amp;" / Verifier: "&amp;IF(INDEX('Inspection Log'!$W$3:$W$62,$M11)="","NOT SHOWN",INDEX('Inspection Log'!$W$3:$W$62,$M11)))</f>
        <v/>
      </c>
      <c r="H11" s="18" t="str">
        <f aca="false">IF($M11="","",IF(INDEX('Inspection Log'!$AF$3:$AF$62,$M11)="","NOT SHOWN",INDEX('Inspection Log'!$AF$3:$AF$62,$M11))&amp;"/5 from "&amp;IF(INDEX('Inspection Log'!$AG$3:$AG$62,$M11)="","NOT SHOWN",INDEX('Inspection Log'!$AG$3:$AG$62,$M11))&amp;" reviews. "&amp;INDEX('Inspection Log'!$AI$3:$AI$62,$M11))</f>
        <v/>
      </c>
      <c r="I11" s="18" t="str">
        <f aca="false">IF($M11="","","Bad reviews: "&amp;IF(INDEX('Inspection Log'!$AM$3:$AM$62,$M11)="","NOT CLEAR",INDEX('Inspection Log'!$AM$3:$AM$62,$M11))&amp;"; repeated: "&amp;IF(INDEX('Inspection Log'!$AL$3:$AL$62,$M11)="","NOT CLEAR",INDEX('Inspection Log'!$AL$3:$AL$62,$M11))&amp;". "&amp;INDEX('Inspection Log'!$AJ$3:$AJ$62,$M11)&amp;" "&amp;INDEX('Inspection Log'!$AK$3:$AK$62,$M11))</f>
        <v/>
      </c>
      <c r="J11" s="18" t="str">
        <f aca="false">IF($M11="","","Export: "&amp;IF(INDEX('Inspection Log'!$AS$3:$AS$62,$M11)="","NOT CLEAR",INDEX('Inspection Log'!$AS$3:$AS$62,$M11))&amp;" / U.S.: "&amp;IF(INDEX('Inspection Log'!$AT$3:$AT$62,$M11)="","NOT CLEAR",INDEX('Inspection Log'!$AT$3:$AT$62,$M11))&amp;". "&amp;INDEX('Inspection Log'!$AU$3:$AU$62,$M11))</f>
        <v/>
      </c>
      <c r="K11" s="18" t="str">
        <f aca="false">IF($M11="","",INDEX('Inspection Log'!$BB$3:$BB$62,$M11))</f>
        <v/>
      </c>
      <c r="L11" s="19" t="str">
        <f aca="false">IF($M11="","",HYPERLINK(INDEX('Inspection Log'!$D$3:$D$62,$M11),INDEX('Inspection Log'!$D$3:$D$62,$M11)))</f>
        <v/>
      </c>
      <c r="M11" s="20" t="str">
        <f aca="false">IFERROR(MATCH(A11,Scoring!$S$6:$S$65,0),"")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7" min="6" style="0" width="10"/>
    <col collapsed="false" customWidth="true" hidden="false" outlineLevel="0" max="8" min="8" style="0" width="18"/>
    <col collapsed="false" customWidth="true" hidden="false" outlineLevel="0" max="9" min="9" style="0" width="30"/>
  </cols>
  <sheetData>
    <row r="1" customFormat="false" ht="48" hidden="false" customHeight="true" outlineLevel="0" collapsed="false">
      <c r="A1" s="7" t="s">
        <v>28</v>
      </c>
      <c r="B1" s="7" t="s">
        <v>298</v>
      </c>
      <c r="C1" s="7" t="s">
        <v>299</v>
      </c>
      <c r="D1" s="7" t="s">
        <v>300</v>
      </c>
      <c r="E1" s="7" t="s">
        <v>301</v>
      </c>
      <c r="F1" s="7" t="s">
        <v>302</v>
      </c>
      <c r="G1" s="7" t="s">
        <v>303</v>
      </c>
      <c r="H1" s="7" t="s">
        <v>304</v>
      </c>
      <c r="I1" s="7" t="s">
        <v>305</v>
      </c>
    </row>
    <row r="2" customFormat="false" ht="15" hidden="false" customHeight="false" outlineLevel="0" collapsed="false">
      <c r="A2" s="9" t="n">
        <v>1</v>
      </c>
      <c r="B2" s="9" t="s">
        <v>306</v>
      </c>
      <c r="C2" s="9" t="s">
        <v>307</v>
      </c>
      <c r="D2" s="10"/>
      <c r="E2" s="10"/>
      <c r="F2" s="10"/>
      <c r="G2" s="10"/>
      <c r="H2" s="10"/>
      <c r="I2" s="10"/>
    </row>
    <row r="3" customFormat="false" ht="15" hidden="false" customHeight="false" outlineLevel="0" collapsed="false">
      <c r="A3" s="9" t="n">
        <v>2</v>
      </c>
      <c r="B3" s="9" t="s">
        <v>308</v>
      </c>
      <c r="C3" s="9" t="s">
        <v>307</v>
      </c>
      <c r="D3" s="10"/>
      <c r="E3" s="10"/>
      <c r="F3" s="10"/>
      <c r="G3" s="10"/>
      <c r="H3" s="10"/>
      <c r="I3" s="10"/>
    </row>
    <row r="4" customFormat="false" ht="15" hidden="false" customHeight="false" outlineLevel="0" collapsed="false">
      <c r="A4" s="9" t="n">
        <v>3</v>
      </c>
      <c r="B4" s="9" t="s">
        <v>309</v>
      </c>
      <c r="C4" s="9" t="s">
        <v>310</v>
      </c>
      <c r="D4" s="10"/>
      <c r="E4" s="10"/>
      <c r="F4" s="10"/>
      <c r="G4" s="10"/>
      <c r="H4" s="10"/>
      <c r="I4" s="10"/>
    </row>
    <row r="5" customFormat="false" ht="15" hidden="false" customHeight="false" outlineLevel="0" collapsed="false">
      <c r="A5" s="9" t="n">
        <v>4</v>
      </c>
      <c r="B5" s="9" t="s">
        <v>311</v>
      </c>
      <c r="C5" s="9" t="s">
        <v>310</v>
      </c>
      <c r="D5" s="10"/>
      <c r="E5" s="10"/>
      <c r="F5" s="10"/>
      <c r="G5" s="10"/>
      <c r="H5" s="10"/>
      <c r="I5" s="10"/>
    </row>
    <row r="6" customFormat="false" ht="15" hidden="false" customHeight="false" outlineLevel="0" collapsed="false">
      <c r="A6" s="9" t="n">
        <v>5</v>
      </c>
      <c r="B6" s="9" t="s">
        <v>312</v>
      </c>
      <c r="C6" s="9" t="s">
        <v>310</v>
      </c>
      <c r="D6" s="10"/>
      <c r="E6" s="10"/>
      <c r="F6" s="10"/>
      <c r="G6" s="10"/>
      <c r="H6" s="10"/>
      <c r="I6" s="10"/>
    </row>
    <row r="7" customFormat="false" ht="15" hidden="false" customHeight="false" outlineLevel="0" collapsed="false">
      <c r="A7" s="9" t="n">
        <v>6</v>
      </c>
      <c r="B7" s="9" t="s">
        <v>313</v>
      </c>
      <c r="C7" s="9" t="s">
        <v>310</v>
      </c>
      <c r="D7" s="10"/>
      <c r="E7" s="10"/>
      <c r="F7" s="10"/>
      <c r="G7" s="10"/>
      <c r="H7" s="10"/>
      <c r="I7" s="10"/>
    </row>
    <row r="8" customFormat="false" ht="15" hidden="false" customHeight="false" outlineLevel="0" collapsed="false">
      <c r="A8" s="9" t="n">
        <v>7</v>
      </c>
      <c r="B8" s="9" t="s">
        <v>314</v>
      </c>
      <c r="C8" s="9" t="s">
        <v>310</v>
      </c>
      <c r="D8" s="10"/>
      <c r="E8" s="10"/>
      <c r="F8" s="10"/>
      <c r="G8" s="10"/>
      <c r="H8" s="10"/>
      <c r="I8" s="10"/>
    </row>
    <row r="9" customFormat="false" ht="15" hidden="false" customHeight="false" outlineLevel="0" collapsed="false">
      <c r="A9" s="9" t="n">
        <v>8</v>
      </c>
      <c r="B9" s="9" t="s">
        <v>315</v>
      </c>
      <c r="C9" s="9" t="s">
        <v>310</v>
      </c>
      <c r="D9" s="10"/>
      <c r="E9" s="10"/>
      <c r="F9" s="10"/>
      <c r="G9" s="10"/>
      <c r="H9" s="10"/>
      <c r="I9" s="10"/>
    </row>
    <row r="10" customFormat="false" ht="15" hidden="false" customHeight="false" outlineLevel="0" collapsed="false">
      <c r="A10" s="9" t="n">
        <v>9</v>
      </c>
      <c r="B10" s="9" t="s">
        <v>316</v>
      </c>
      <c r="C10" s="9" t="s">
        <v>310</v>
      </c>
      <c r="D10" s="10"/>
      <c r="E10" s="10"/>
      <c r="F10" s="10"/>
      <c r="G10" s="10"/>
      <c r="H10" s="10"/>
      <c r="I10" s="10"/>
    </row>
    <row r="11" customFormat="false" ht="15" hidden="false" customHeight="false" outlineLevel="0" collapsed="false">
      <c r="A11" s="9" t="n">
        <v>10</v>
      </c>
      <c r="B11" s="9" t="s">
        <v>317</v>
      </c>
      <c r="C11" s="9" t="s">
        <v>318</v>
      </c>
      <c r="D11" s="10"/>
      <c r="E11" s="10"/>
      <c r="F11" s="10"/>
      <c r="G11" s="10"/>
      <c r="H11" s="10"/>
      <c r="I11" s="10"/>
    </row>
    <row r="12" customFormat="false" ht="15" hidden="false" customHeight="false" outlineLevel="0" collapsed="false">
      <c r="A12" s="9" t="n">
        <v>11</v>
      </c>
      <c r="B12" s="9" t="s">
        <v>319</v>
      </c>
      <c r="C12" s="9" t="s">
        <v>318</v>
      </c>
      <c r="D12" s="10"/>
      <c r="E12" s="10"/>
      <c r="F12" s="10"/>
      <c r="G12" s="10"/>
      <c r="H12" s="10"/>
      <c r="I12" s="10"/>
    </row>
    <row r="13" customFormat="false" ht="15" hidden="false" customHeight="false" outlineLevel="0" collapsed="false">
      <c r="A13" s="9" t="n">
        <v>12</v>
      </c>
      <c r="B13" s="9" t="s">
        <v>320</v>
      </c>
      <c r="C13" s="9" t="s">
        <v>318</v>
      </c>
      <c r="D13" s="10"/>
      <c r="E13" s="10"/>
      <c r="F13" s="10"/>
      <c r="G13" s="10"/>
      <c r="H13" s="10"/>
      <c r="I13" s="10"/>
    </row>
    <row r="14" customFormat="false" ht="15" hidden="false" customHeight="false" outlineLevel="0" collapsed="false">
      <c r="A14" s="9" t="n">
        <v>13</v>
      </c>
      <c r="B14" s="9" t="s">
        <v>321</v>
      </c>
      <c r="C14" s="9" t="s">
        <v>318</v>
      </c>
      <c r="D14" s="10"/>
      <c r="E14" s="10"/>
      <c r="F14" s="10"/>
      <c r="G14" s="10"/>
      <c r="H14" s="10"/>
      <c r="I14" s="10"/>
    </row>
    <row r="15" customFormat="false" ht="15" hidden="false" customHeight="false" outlineLevel="0" collapsed="false">
      <c r="A15" s="9" t="n">
        <v>14</v>
      </c>
      <c r="B15" s="9" t="s">
        <v>87</v>
      </c>
      <c r="C15" s="9" t="s">
        <v>318</v>
      </c>
      <c r="D15" s="10"/>
      <c r="E15" s="10"/>
      <c r="F15" s="10"/>
      <c r="G15" s="10"/>
      <c r="H15" s="10"/>
      <c r="I15" s="10"/>
    </row>
    <row r="16" customFormat="false" ht="15" hidden="false" customHeight="false" outlineLevel="0" collapsed="false">
      <c r="A16" s="9" t="n">
        <v>15</v>
      </c>
      <c r="B16" s="9" t="s">
        <v>322</v>
      </c>
      <c r="C16" s="9" t="s">
        <v>318</v>
      </c>
      <c r="D16" s="10"/>
      <c r="E16" s="10"/>
      <c r="F16" s="10"/>
      <c r="G16" s="10"/>
      <c r="H16" s="10"/>
      <c r="I16" s="10"/>
    </row>
    <row r="17" customFormat="false" ht="15" hidden="false" customHeight="false" outlineLevel="0" collapsed="false">
      <c r="A17" s="9" t="n">
        <v>16</v>
      </c>
      <c r="B17" s="9" t="s">
        <v>323</v>
      </c>
      <c r="C17" s="9" t="s">
        <v>324</v>
      </c>
      <c r="D17" s="10"/>
      <c r="E17" s="10"/>
      <c r="F17" s="10"/>
      <c r="G17" s="10"/>
      <c r="H17" s="10"/>
      <c r="I17" s="10"/>
    </row>
    <row r="18" customFormat="false" ht="15" hidden="false" customHeight="false" outlineLevel="0" collapsed="false">
      <c r="A18" s="9" t="n">
        <v>17</v>
      </c>
      <c r="B18" s="9" t="s">
        <v>325</v>
      </c>
      <c r="C18" s="9" t="s">
        <v>324</v>
      </c>
      <c r="D18" s="10"/>
      <c r="E18" s="10"/>
      <c r="F18" s="10"/>
      <c r="G18" s="10"/>
      <c r="H18" s="10"/>
      <c r="I18" s="10"/>
    </row>
    <row r="19" customFormat="false" ht="15" hidden="false" customHeight="false" outlineLevel="0" collapsed="false">
      <c r="A19" s="9" t="n">
        <v>18</v>
      </c>
      <c r="B19" s="9" t="s">
        <v>326</v>
      </c>
      <c r="C19" s="9" t="s">
        <v>324</v>
      </c>
      <c r="D19" s="10"/>
      <c r="E19" s="10"/>
      <c r="F19" s="10"/>
      <c r="G19" s="10"/>
      <c r="H19" s="10"/>
      <c r="I19" s="10"/>
    </row>
    <row r="20" customFormat="false" ht="15" hidden="false" customHeight="false" outlineLevel="0" collapsed="false">
      <c r="A20" s="9" t="n">
        <v>19</v>
      </c>
      <c r="B20" s="9" t="s">
        <v>327</v>
      </c>
      <c r="C20" s="9" t="s">
        <v>324</v>
      </c>
      <c r="D20" s="10"/>
      <c r="E20" s="10"/>
      <c r="F20" s="10"/>
      <c r="G20" s="10"/>
      <c r="H20" s="10"/>
      <c r="I20" s="10"/>
    </row>
    <row r="21" customFormat="false" ht="15" hidden="false" customHeight="false" outlineLevel="0" collapsed="false">
      <c r="A21" s="9" t="n">
        <v>20</v>
      </c>
      <c r="B21" s="9" t="s">
        <v>328</v>
      </c>
      <c r="C21" s="9" t="s">
        <v>329</v>
      </c>
      <c r="D21" s="10"/>
      <c r="E21" s="10"/>
      <c r="F21" s="10"/>
      <c r="G21" s="10"/>
      <c r="H21" s="10"/>
      <c r="I21" s="10"/>
    </row>
    <row r="22" customFormat="false" ht="15" hidden="false" customHeight="false" outlineLevel="0" collapsed="false">
      <c r="A22" s="9" t="n">
        <v>21</v>
      </c>
      <c r="B22" s="9" t="s">
        <v>330</v>
      </c>
      <c r="C22" s="9" t="s">
        <v>329</v>
      </c>
      <c r="D22" s="10"/>
      <c r="E22" s="10"/>
      <c r="F22" s="10"/>
      <c r="G22" s="10"/>
      <c r="H22" s="10"/>
      <c r="I22" s="10"/>
    </row>
    <row r="23" customFormat="false" ht="15" hidden="false" customHeight="false" outlineLevel="0" collapsed="false">
      <c r="A23" s="9" t="n">
        <v>22</v>
      </c>
      <c r="B23" s="9" t="s">
        <v>331</v>
      </c>
      <c r="C23" s="9" t="s">
        <v>329</v>
      </c>
      <c r="D23" s="10"/>
      <c r="E23" s="10"/>
      <c r="F23" s="10"/>
      <c r="G23" s="10"/>
      <c r="H23" s="10"/>
      <c r="I23" s="10"/>
    </row>
    <row r="24" customFormat="false" ht="15" hidden="false" customHeight="false" outlineLevel="0" collapsed="false">
      <c r="A24" s="9" t="n">
        <v>23</v>
      </c>
      <c r="B24" s="9" t="s">
        <v>332</v>
      </c>
      <c r="C24" s="9" t="s">
        <v>329</v>
      </c>
      <c r="D24" s="10"/>
      <c r="E24" s="10"/>
      <c r="F24" s="10"/>
      <c r="G24" s="10"/>
      <c r="H24" s="10"/>
      <c r="I24" s="10"/>
    </row>
    <row r="25" customFormat="false" ht="15" hidden="false" customHeight="false" outlineLevel="0" collapsed="false">
      <c r="A25" s="9" t="n">
        <v>24</v>
      </c>
      <c r="B25" s="9" t="s">
        <v>333</v>
      </c>
      <c r="C25" s="9" t="s">
        <v>334</v>
      </c>
      <c r="D25" s="10"/>
      <c r="E25" s="10"/>
      <c r="F25" s="10"/>
      <c r="G25" s="10"/>
      <c r="H25" s="10"/>
      <c r="I25" s="10"/>
    </row>
    <row r="26" customFormat="false" ht="15" hidden="false" customHeight="false" outlineLevel="0" collapsed="false">
      <c r="A26" s="9" t="n">
        <v>25</v>
      </c>
      <c r="B26" s="9" t="s">
        <v>335</v>
      </c>
      <c r="C26" s="9" t="s">
        <v>334</v>
      </c>
      <c r="D26" s="10"/>
      <c r="E26" s="10"/>
      <c r="F26" s="10"/>
      <c r="G26" s="10"/>
      <c r="H26" s="10"/>
      <c r="I26" s="10"/>
    </row>
    <row r="27" customFormat="false" ht="15" hidden="false" customHeight="false" outlineLevel="0" collapsed="false">
      <c r="A27" s="9" t="n">
        <v>26</v>
      </c>
      <c r="B27" s="9" t="s">
        <v>336</v>
      </c>
      <c r="C27" s="9" t="s">
        <v>334</v>
      </c>
      <c r="D27" s="10"/>
      <c r="E27" s="10"/>
      <c r="F27" s="10"/>
      <c r="G27" s="10"/>
      <c r="H27" s="10"/>
      <c r="I27" s="10"/>
    </row>
    <row r="28" customFormat="false" ht="15" hidden="false" customHeight="false" outlineLevel="0" collapsed="false">
      <c r="A28" s="9" t="n">
        <v>27</v>
      </c>
      <c r="B28" s="9" t="s">
        <v>337</v>
      </c>
      <c r="C28" s="9" t="s">
        <v>334</v>
      </c>
      <c r="D28" s="10"/>
      <c r="E28" s="10"/>
      <c r="F28" s="10"/>
      <c r="G28" s="10"/>
      <c r="H28" s="10"/>
      <c r="I28" s="10"/>
    </row>
    <row r="29" customFormat="false" ht="15" hidden="false" customHeight="false" outlineLevel="0" collapsed="false">
      <c r="A29" s="9" t="n">
        <v>28</v>
      </c>
      <c r="B29" s="9" t="s">
        <v>338</v>
      </c>
      <c r="C29" s="9" t="s">
        <v>334</v>
      </c>
      <c r="D29" s="10"/>
      <c r="E29" s="10"/>
      <c r="F29" s="10"/>
      <c r="G29" s="10"/>
      <c r="H29" s="10"/>
      <c r="I29" s="10"/>
    </row>
    <row r="30" customFormat="false" ht="15" hidden="false" customHeight="false" outlineLevel="0" collapsed="false">
      <c r="A30" s="9" t="n">
        <v>29</v>
      </c>
      <c r="B30" s="9" t="s">
        <v>339</v>
      </c>
      <c r="C30" s="9" t="s">
        <v>334</v>
      </c>
      <c r="D30" s="10"/>
      <c r="E30" s="10"/>
      <c r="F30" s="10"/>
      <c r="G30" s="10"/>
      <c r="H30" s="10"/>
      <c r="I30" s="10"/>
    </row>
    <row r="31" customFormat="false" ht="15" hidden="false" customHeight="false" outlineLevel="0" collapsed="false">
      <c r="A31" s="9" t="n">
        <v>30</v>
      </c>
      <c r="B31" s="9" t="s">
        <v>340</v>
      </c>
      <c r="C31" s="9" t="s">
        <v>341</v>
      </c>
      <c r="D31" s="10"/>
      <c r="E31" s="10"/>
      <c r="F31" s="10"/>
      <c r="G31" s="10"/>
      <c r="H31" s="10"/>
      <c r="I31" s="10"/>
    </row>
    <row r="32" customFormat="false" ht="15" hidden="false" customHeight="false" outlineLevel="0" collapsed="false">
      <c r="A32" s="9" t="n">
        <v>31</v>
      </c>
      <c r="B32" s="9" t="s">
        <v>342</v>
      </c>
      <c r="C32" s="9" t="s">
        <v>341</v>
      </c>
      <c r="D32" s="10"/>
      <c r="E32" s="10"/>
      <c r="F32" s="10"/>
      <c r="G32" s="10"/>
      <c r="H32" s="10"/>
      <c r="I32" s="10"/>
    </row>
    <row r="33" customFormat="false" ht="15" hidden="false" customHeight="false" outlineLevel="0" collapsed="false">
      <c r="A33" s="9" t="n">
        <v>32</v>
      </c>
      <c r="B33" s="9" t="s">
        <v>343</v>
      </c>
      <c r="C33" s="9" t="s">
        <v>341</v>
      </c>
      <c r="D33" s="10"/>
      <c r="E33" s="10"/>
      <c r="F33" s="10"/>
      <c r="G33" s="10"/>
      <c r="H33" s="10"/>
      <c r="I33" s="10"/>
    </row>
    <row r="34" customFormat="false" ht="15" hidden="false" customHeight="false" outlineLevel="0" collapsed="false">
      <c r="A34" s="9" t="n">
        <v>33</v>
      </c>
      <c r="B34" s="9" t="s">
        <v>344</v>
      </c>
      <c r="C34" s="9" t="s">
        <v>341</v>
      </c>
      <c r="D34" s="10"/>
      <c r="E34" s="10"/>
      <c r="F34" s="10"/>
      <c r="G34" s="10"/>
      <c r="H34" s="10"/>
      <c r="I34" s="10"/>
    </row>
    <row r="35" customFormat="false" ht="15" hidden="false" customHeight="false" outlineLevel="0" collapsed="false">
      <c r="A35" s="9" t="n">
        <v>34</v>
      </c>
      <c r="B35" s="9" t="s">
        <v>345</v>
      </c>
      <c r="C35" s="9" t="s">
        <v>346</v>
      </c>
      <c r="D35" s="10"/>
      <c r="E35" s="10"/>
      <c r="F35" s="10"/>
      <c r="G35" s="10"/>
      <c r="H35" s="10"/>
      <c r="I35" s="10"/>
    </row>
    <row r="36" customFormat="false" ht="15" hidden="false" customHeight="false" outlineLevel="0" collapsed="false">
      <c r="A36" s="9" t="n">
        <v>35</v>
      </c>
      <c r="B36" s="9" t="s">
        <v>347</v>
      </c>
      <c r="C36" s="9" t="s">
        <v>346</v>
      </c>
      <c r="D36" s="10"/>
      <c r="E36" s="10"/>
      <c r="F36" s="10"/>
      <c r="G36" s="10"/>
      <c r="H36" s="10"/>
      <c r="I36" s="10"/>
    </row>
    <row r="37" customFormat="false" ht="15" hidden="false" customHeight="false" outlineLevel="0" collapsed="false">
      <c r="A37" s="9" t="n">
        <v>36</v>
      </c>
      <c r="B37" s="9" t="s">
        <v>348</v>
      </c>
      <c r="C37" s="9" t="s">
        <v>346</v>
      </c>
      <c r="D37" s="10"/>
      <c r="E37" s="10"/>
      <c r="F37" s="10"/>
      <c r="G37" s="10"/>
      <c r="H37" s="10"/>
      <c r="I37" s="10"/>
    </row>
    <row r="38" customFormat="false" ht="15" hidden="false" customHeight="false" outlineLevel="0" collapsed="false">
      <c r="A38" s="9" t="n">
        <v>37</v>
      </c>
      <c r="B38" s="9" t="s">
        <v>349</v>
      </c>
      <c r="C38" s="9" t="s">
        <v>346</v>
      </c>
      <c r="D38" s="10"/>
      <c r="E38" s="10"/>
      <c r="F38" s="10"/>
      <c r="G38" s="10"/>
      <c r="H38" s="10"/>
      <c r="I38" s="10"/>
    </row>
    <row r="39" customFormat="false" ht="15" hidden="false" customHeight="false" outlineLevel="0" collapsed="false">
      <c r="A39" s="9" t="n">
        <v>38</v>
      </c>
      <c r="B39" s="9" t="s">
        <v>350</v>
      </c>
      <c r="C39" s="9" t="s">
        <v>346</v>
      </c>
      <c r="D39" s="10"/>
      <c r="E39" s="10"/>
      <c r="F39" s="10"/>
      <c r="G39" s="10"/>
      <c r="H39" s="10"/>
      <c r="I39" s="10"/>
    </row>
    <row r="40" customFormat="false" ht="15" hidden="false" customHeight="false" outlineLevel="0" collapsed="false">
      <c r="A40" s="9" t="n">
        <v>39</v>
      </c>
      <c r="B40" s="9" t="s">
        <v>351</v>
      </c>
      <c r="C40" s="9" t="s">
        <v>346</v>
      </c>
      <c r="D40" s="10"/>
      <c r="E40" s="10"/>
      <c r="F40" s="10"/>
      <c r="G40" s="10"/>
      <c r="H40" s="10"/>
      <c r="I40" s="10"/>
    </row>
    <row r="41" customFormat="false" ht="15" hidden="false" customHeight="false" outlineLevel="0" collapsed="false">
      <c r="A41" s="9" t="n">
        <v>40</v>
      </c>
      <c r="B41" s="9" t="s">
        <v>352</v>
      </c>
      <c r="C41" s="9" t="s">
        <v>346</v>
      </c>
      <c r="D41" s="10"/>
      <c r="E41" s="10"/>
      <c r="F41" s="10"/>
      <c r="G41" s="10"/>
      <c r="H41" s="10"/>
      <c r="I41" s="10"/>
    </row>
    <row r="42" customFormat="false" ht="15" hidden="false" customHeight="false" outlineLevel="0" collapsed="false">
      <c r="A42" s="9" t="n">
        <v>41</v>
      </c>
      <c r="B42" s="9" t="s">
        <v>353</v>
      </c>
      <c r="C42" s="9" t="s">
        <v>354</v>
      </c>
      <c r="D42" s="10"/>
      <c r="E42" s="10"/>
      <c r="F42" s="10"/>
      <c r="G42" s="10"/>
      <c r="H42" s="10"/>
      <c r="I42" s="10"/>
    </row>
    <row r="43" customFormat="false" ht="15" hidden="false" customHeight="false" outlineLevel="0" collapsed="false">
      <c r="A43" s="9" t="n">
        <v>42</v>
      </c>
      <c r="B43" s="9" t="s">
        <v>355</v>
      </c>
      <c r="C43" s="9" t="s">
        <v>354</v>
      </c>
      <c r="D43" s="10"/>
      <c r="E43" s="10"/>
      <c r="F43" s="10"/>
      <c r="G43" s="10"/>
      <c r="H43" s="10"/>
      <c r="I43" s="10"/>
    </row>
    <row r="44" customFormat="false" ht="15" hidden="false" customHeight="false" outlineLevel="0" collapsed="false">
      <c r="A44" s="9" t="n">
        <v>43</v>
      </c>
      <c r="B44" s="9" t="s">
        <v>356</v>
      </c>
      <c r="C44" s="9" t="s">
        <v>354</v>
      </c>
      <c r="D44" s="10"/>
      <c r="E44" s="10"/>
      <c r="F44" s="10"/>
      <c r="G44" s="10"/>
      <c r="H44" s="10"/>
      <c r="I44" s="10"/>
    </row>
    <row r="45" customFormat="false" ht="15" hidden="false" customHeight="false" outlineLevel="0" collapsed="false">
      <c r="A45" s="9" t="n">
        <v>44</v>
      </c>
      <c r="B45" s="9" t="s">
        <v>357</v>
      </c>
      <c r="C45" s="9" t="s">
        <v>354</v>
      </c>
      <c r="D45" s="10"/>
      <c r="E45" s="10"/>
      <c r="F45" s="10"/>
      <c r="G45" s="10"/>
      <c r="H45" s="10"/>
      <c r="I45" s="10"/>
    </row>
    <row r="46" customFormat="false" ht="15" hidden="false" customHeight="false" outlineLevel="0" collapsed="false">
      <c r="A46" s="9" t="n">
        <v>45</v>
      </c>
      <c r="B46" s="9" t="s">
        <v>358</v>
      </c>
      <c r="C46" s="9" t="s">
        <v>354</v>
      </c>
      <c r="D46" s="10"/>
      <c r="E46" s="10"/>
      <c r="F46" s="10"/>
      <c r="G46" s="10"/>
      <c r="H46" s="10"/>
      <c r="I46" s="10"/>
    </row>
    <row r="47" customFormat="false" ht="15" hidden="false" customHeight="false" outlineLevel="0" collapsed="false">
      <c r="A47" s="9" t="n">
        <v>46</v>
      </c>
      <c r="B47" s="9" t="s">
        <v>359</v>
      </c>
      <c r="C47" s="9" t="s">
        <v>354</v>
      </c>
      <c r="D47" s="10"/>
      <c r="E47" s="10"/>
      <c r="F47" s="10"/>
      <c r="G47" s="10"/>
      <c r="H47" s="10"/>
      <c r="I47" s="10"/>
    </row>
    <row r="48" customFormat="false" ht="15" hidden="false" customHeight="false" outlineLevel="0" collapsed="false">
      <c r="A48" s="9" t="n">
        <v>47</v>
      </c>
      <c r="B48" s="9" t="s">
        <v>360</v>
      </c>
      <c r="C48" s="9" t="s">
        <v>354</v>
      </c>
      <c r="D48" s="10"/>
      <c r="E48" s="10"/>
      <c r="F48" s="10"/>
      <c r="G48" s="10"/>
      <c r="H48" s="10"/>
      <c r="I48" s="10"/>
    </row>
    <row r="49" customFormat="false" ht="15" hidden="false" customHeight="false" outlineLevel="0" collapsed="false">
      <c r="A49" s="9" t="n">
        <v>48</v>
      </c>
      <c r="B49" s="9" t="s">
        <v>361</v>
      </c>
      <c r="C49" s="9" t="s">
        <v>354</v>
      </c>
      <c r="D49" s="10"/>
      <c r="E49" s="10"/>
      <c r="F49" s="10"/>
      <c r="G49" s="10"/>
      <c r="H49" s="10"/>
      <c r="I49" s="10"/>
    </row>
    <row r="50" customFormat="false" ht="15" hidden="false" customHeight="false" outlineLevel="0" collapsed="false">
      <c r="A50" s="9" t="n">
        <v>49</v>
      </c>
      <c r="B50" s="9" t="s">
        <v>362</v>
      </c>
      <c r="C50" s="9" t="s">
        <v>354</v>
      </c>
      <c r="D50" s="10"/>
      <c r="E50" s="10"/>
      <c r="F50" s="10"/>
      <c r="G50" s="10"/>
      <c r="H50" s="10"/>
      <c r="I50" s="10"/>
    </row>
    <row r="51" customFormat="false" ht="15" hidden="false" customHeight="false" outlineLevel="0" collapsed="false">
      <c r="A51" s="9" t="n">
        <v>50</v>
      </c>
      <c r="B51" s="9" t="s">
        <v>363</v>
      </c>
      <c r="C51" s="9" t="s">
        <v>354</v>
      </c>
      <c r="D51" s="10"/>
      <c r="E51" s="10"/>
      <c r="F51" s="10"/>
      <c r="G51" s="10"/>
      <c r="H51" s="10"/>
      <c r="I51" s="10"/>
    </row>
    <row r="52" customFormat="false" ht="15" hidden="false" customHeight="false" outlineLevel="0" collapsed="false">
      <c r="A52" s="9" t="n">
        <v>51</v>
      </c>
      <c r="B52" s="9" t="s">
        <v>364</v>
      </c>
      <c r="C52" s="9" t="s">
        <v>354</v>
      </c>
      <c r="D52" s="10"/>
      <c r="E52" s="10"/>
      <c r="F52" s="10"/>
      <c r="G52" s="10"/>
      <c r="H52" s="10"/>
      <c r="I52" s="10"/>
    </row>
    <row r="53" customFormat="false" ht="15" hidden="false" customHeight="false" outlineLevel="0" collapsed="false">
      <c r="A53" s="9" t="n">
        <v>52</v>
      </c>
      <c r="B53" s="9" t="s">
        <v>365</v>
      </c>
      <c r="C53" s="9" t="s">
        <v>354</v>
      </c>
      <c r="D53" s="10"/>
      <c r="E53" s="10"/>
      <c r="F53" s="10"/>
      <c r="G53" s="10"/>
      <c r="H53" s="10"/>
      <c r="I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0"/>
    <col collapsed="false" customWidth="true" hidden="false" outlineLevel="0" max="3" min="3" style="0" width="40"/>
  </cols>
  <sheetData>
    <row r="1" customFormat="false" ht="30" hidden="false" customHeight="true" outlineLevel="0" collapsed="false">
      <c r="A1" s="7" t="s">
        <v>256</v>
      </c>
      <c r="B1" s="7" t="s">
        <v>366</v>
      </c>
      <c r="C1" s="7" t="s">
        <v>367</v>
      </c>
    </row>
    <row r="2" customFormat="false" ht="15" hidden="false" customHeight="false" outlineLevel="0" collapsed="false">
      <c r="A2" s="18" t="s">
        <v>368</v>
      </c>
      <c r="B2" s="18" t="s">
        <v>369</v>
      </c>
      <c r="C2" s="18" t="s">
        <v>370</v>
      </c>
    </row>
    <row r="3" customFormat="false" ht="15" hidden="false" customHeight="false" outlineLevel="0" collapsed="false">
      <c r="A3" s="18" t="s">
        <v>371</v>
      </c>
      <c r="B3" s="18" t="s">
        <v>372</v>
      </c>
      <c r="C3" s="18" t="s">
        <v>370</v>
      </c>
    </row>
    <row r="4" customFormat="false" ht="15" hidden="false" customHeight="false" outlineLevel="0" collapsed="false">
      <c r="A4" s="18" t="s">
        <v>373</v>
      </c>
      <c r="B4" s="18" t="s">
        <v>374</v>
      </c>
      <c r="C4" s="18" t="s">
        <v>370</v>
      </c>
    </row>
    <row r="5" customFormat="false" ht="15" hidden="false" customHeight="false" outlineLevel="0" collapsed="false">
      <c r="A5" s="18" t="s">
        <v>375</v>
      </c>
      <c r="B5" s="18" t="s">
        <v>376</v>
      </c>
      <c r="C5" s="18" t="s">
        <v>370</v>
      </c>
    </row>
    <row r="6" customFormat="false" ht="15" hidden="false" customHeight="false" outlineLevel="0" collapsed="false">
      <c r="A6" s="18" t="s">
        <v>377</v>
      </c>
      <c r="B6" s="18" t="s">
        <v>378</v>
      </c>
      <c r="C6" s="18" t="s">
        <v>370</v>
      </c>
    </row>
    <row r="7" customFormat="false" ht="15" hidden="false" customHeight="false" outlineLevel="0" collapsed="false">
      <c r="A7" s="18" t="s">
        <v>379</v>
      </c>
      <c r="B7" s="18" t="s">
        <v>380</v>
      </c>
      <c r="C7" s="18" t="s">
        <v>370</v>
      </c>
    </row>
    <row r="8" customFormat="false" ht="15" hidden="false" customHeight="false" outlineLevel="0" collapsed="false">
      <c r="A8" s="18" t="s">
        <v>381</v>
      </c>
      <c r="B8" s="18" t="s">
        <v>382</v>
      </c>
      <c r="C8" s="18" t="s">
        <v>370</v>
      </c>
    </row>
    <row r="9" customFormat="false" ht="15" hidden="false" customHeight="false" outlineLevel="0" collapsed="false">
      <c r="A9" s="18" t="s">
        <v>383</v>
      </c>
      <c r="B9" s="18" t="s">
        <v>384</v>
      </c>
      <c r="C9" s="18" t="s">
        <v>370</v>
      </c>
    </row>
    <row r="10" customFormat="false" ht="15" hidden="false" customHeight="false" outlineLevel="0" collapsed="false">
      <c r="A10" s="18" t="s">
        <v>385</v>
      </c>
      <c r="B10" s="18" t="s">
        <v>382</v>
      </c>
      <c r="C10" s="18" t="s">
        <v>370</v>
      </c>
    </row>
    <row r="11" customFormat="false" ht="15" hidden="false" customHeight="false" outlineLevel="0" collapsed="false">
      <c r="A11" s="18" t="s">
        <v>386</v>
      </c>
      <c r="B11" s="18" t="s">
        <v>387</v>
      </c>
      <c r="C11" s="18" t="s">
        <v>370</v>
      </c>
    </row>
    <row r="12" customFormat="false" ht="15" hidden="false" customHeight="false" outlineLevel="0" collapsed="false">
      <c r="A12" s="18" t="s">
        <v>388</v>
      </c>
      <c r="B12" s="18" t="s">
        <v>389</v>
      </c>
      <c r="C12" s="18" t="s">
        <v>370</v>
      </c>
    </row>
    <row r="13" customFormat="false" ht="15" hidden="false" customHeight="false" outlineLevel="0" collapsed="false">
      <c r="A13" s="18" t="s">
        <v>390</v>
      </c>
      <c r="B13" s="18" t="s">
        <v>391</v>
      </c>
      <c r="C13" s="18" t="s">
        <v>370</v>
      </c>
    </row>
    <row r="14" customFormat="false" ht="15" hidden="false" customHeight="false" outlineLevel="0" collapsed="false">
      <c r="A14" s="18" t="s">
        <v>392</v>
      </c>
      <c r="B14" s="18" t="s">
        <v>393</v>
      </c>
      <c r="C14" s="18" t="s">
        <v>370</v>
      </c>
    </row>
    <row r="15" customFormat="false" ht="15" hidden="false" customHeight="false" outlineLevel="0" collapsed="false">
      <c r="A15" s="18" t="s">
        <v>394</v>
      </c>
      <c r="B15" s="18" t="s">
        <v>395</v>
      </c>
      <c r="C15" s="18" t="s">
        <v>370</v>
      </c>
    </row>
    <row r="16" customFormat="false" ht="15" hidden="false" customHeight="false" outlineLevel="0" collapsed="false">
      <c r="A16" s="18" t="s">
        <v>396</v>
      </c>
      <c r="B16" s="18" t="s">
        <v>397</v>
      </c>
      <c r="C16" s="18" t="s">
        <v>370</v>
      </c>
    </row>
    <row r="17" customFormat="false" ht="15" hidden="false" customHeight="false" outlineLevel="0" collapsed="false">
      <c r="A17" s="18" t="s">
        <v>398</v>
      </c>
      <c r="B17" s="18" t="s">
        <v>399</v>
      </c>
      <c r="C17" s="18" t="s">
        <v>370</v>
      </c>
    </row>
    <row r="18" customFormat="false" ht="15" hidden="false" customHeight="false" outlineLevel="0" collapsed="false">
      <c r="A18" s="18" t="s">
        <v>400</v>
      </c>
      <c r="B18" s="18" t="s">
        <v>401</v>
      </c>
      <c r="C18" s="18" t="s">
        <v>370</v>
      </c>
    </row>
    <row r="19" customFormat="false" ht="15" hidden="false" customHeight="false" outlineLevel="0" collapsed="false">
      <c r="A19" s="18" t="s">
        <v>402</v>
      </c>
      <c r="B19" s="18" t="s">
        <v>403</v>
      </c>
      <c r="C19" s="18" t="s">
        <v>370</v>
      </c>
    </row>
    <row r="20" customFormat="false" ht="15" hidden="false" customHeight="false" outlineLevel="0" collapsed="false">
      <c r="A20" s="18" t="s">
        <v>404</v>
      </c>
      <c r="B20" s="18" t="s">
        <v>405</v>
      </c>
      <c r="C20" s="18" t="s">
        <v>370</v>
      </c>
    </row>
    <row r="21" customFormat="false" ht="15" hidden="false" customHeight="false" outlineLevel="0" collapsed="false">
      <c r="A21" s="18" t="s">
        <v>406</v>
      </c>
      <c r="B21" s="18" t="s">
        <v>407</v>
      </c>
      <c r="C21" s="18" t="s">
        <v>370</v>
      </c>
    </row>
    <row r="22" customFormat="false" ht="15" hidden="false" customHeight="false" outlineLevel="0" collapsed="false">
      <c r="A22" s="18" t="s">
        <v>408</v>
      </c>
      <c r="B22" s="18" t="s">
        <v>409</v>
      </c>
      <c r="C22" s="18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2026-10-05T07:48:54Z</dcterms:created>
  <dc:creator>openpyxl</dc:creator>
  <dc:description/>
  <dc:language>en-US</dc:language>
  <cp:lastModifiedBy/>
  <dcterms:modified xsi:type="dcterms:W3CDTF">2026-10-05T07:48:54Z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